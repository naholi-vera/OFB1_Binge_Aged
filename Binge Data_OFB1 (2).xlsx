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lgs2443\AppData\Local\Box\Box Edit\Documents\Lqd8ZcJ_A0KlpR9RykVNcw==\"/>
    </mc:Choice>
  </mc:AlternateContent>
  <xr:revisionPtr revIDLastSave="0" documentId="13_ncr:1_{7B5B1495-650C-4AFA-9E9A-A2787A33FACA}" xr6:coauthVersionLast="47" xr6:coauthVersionMax="47" xr10:uidLastSave="{00000000-0000-0000-0000-000000000000}"/>
  <bookViews>
    <workbookView xWindow="30612" yWindow="-108" windowWidth="30936" windowHeight="16896" activeTab="5" xr2:uid="{00000000-000D-0000-FFFF-FFFF00000000}"/>
  </bookViews>
  <sheets>
    <sheet name="B1 Weights" sheetId="4" r:id="rId1"/>
    <sheet name="B1 Weights (Print Version)" sheetId="9" r:id="rId2"/>
    <sheet name="B1 Intoxication Beh" sheetId="5" r:id="rId3"/>
    <sheet name="B1 EtOH Dose" sheetId="6" r:id="rId4"/>
    <sheet name="B1 Volume" sheetId="7" r:id="rId5"/>
    <sheet name="B1 BEC" sheetId="8" r:id="rId6"/>
  </sheets>
  <definedNames>
    <definedName name="_xlnm.Print_Area" localSheetId="1">'B1 Weights (Print Version)'!$A$1:$K$22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7" i="6" l="1"/>
  <c r="N27" i="6"/>
  <c r="O27" i="6"/>
  <c r="L27" i="6"/>
  <c r="M20" i="6"/>
  <c r="N20" i="6"/>
  <c r="O20" i="6"/>
  <c r="L20" i="6"/>
  <c r="O4" i="6"/>
  <c r="O5" i="6"/>
  <c r="O6" i="6"/>
  <c r="O7" i="6"/>
  <c r="O8" i="6"/>
  <c r="O9" i="6"/>
  <c r="O10" i="6"/>
  <c r="O11" i="6"/>
  <c r="O12" i="6"/>
  <c r="O3" i="6"/>
  <c r="N4" i="6"/>
  <c r="N5" i="6"/>
  <c r="N6" i="6"/>
  <c r="N7" i="6"/>
  <c r="N8" i="6"/>
  <c r="N9" i="6"/>
  <c r="N10" i="6"/>
  <c r="N11" i="6"/>
  <c r="N12" i="6"/>
  <c r="N3" i="6"/>
  <c r="M4" i="6"/>
  <c r="M5" i="6"/>
  <c r="M6" i="6"/>
  <c r="M7" i="6"/>
  <c r="M8" i="6"/>
  <c r="M9" i="6"/>
  <c r="M10" i="6"/>
  <c r="M11" i="6"/>
  <c r="M12" i="6"/>
  <c r="M3" i="6"/>
  <c r="L12" i="6"/>
  <c r="L4" i="6"/>
  <c r="L5" i="6"/>
  <c r="L6" i="6"/>
  <c r="L7" i="6"/>
  <c r="L8" i="6"/>
  <c r="L9" i="6"/>
  <c r="L10" i="6"/>
  <c r="L11" i="6"/>
  <c r="L3" i="6"/>
  <c r="M4" i="7"/>
  <c r="M5" i="7"/>
  <c r="M6" i="7"/>
  <c r="M7" i="7"/>
  <c r="M8" i="7"/>
  <c r="M9" i="7"/>
  <c r="M10" i="7"/>
  <c r="M11" i="7"/>
  <c r="M12" i="7"/>
  <c r="M13" i="7"/>
  <c r="M14" i="7"/>
  <c r="M15" i="7"/>
  <c r="M16" i="7"/>
  <c r="M17" i="7"/>
  <c r="M18" i="7"/>
  <c r="M19" i="7"/>
  <c r="M20" i="7"/>
  <c r="M21" i="7"/>
  <c r="M22" i="7"/>
  <c r="M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3" i="7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3" i="4"/>
  <c r="M4" i="5"/>
  <c r="M5" i="5"/>
  <c r="M6" i="5"/>
  <c r="M7" i="5"/>
  <c r="M8" i="5"/>
  <c r="M9" i="5"/>
  <c r="M10" i="5"/>
  <c r="M11" i="5"/>
  <c r="M12" i="5"/>
  <c r="L4" i="5"/>
  <c r="L5" i="5"/>
  <c r="L6" i="5"/>
  <c r="L7" i="5"/>
  <c r="L8" i="5"/>
  <c r="L9" i="5"/>
  <c r="L10" i="5"/>
  <c r="L11" i="5"/>
  <c r="L12" i="5"/>
  <c r="M3" i="5"/>
  <c r="L3" i="5"/>
  <c r="S3" i="4" l="1"/>
  <c r="S5" i="4"/>
  <c r="S7" i="4"/>
  <c r="S9" i="4"/>
  <c r="S11" i="4"/>
  <c r="S17" i="4"/>
  <c r="S15" i="4"/>
  <c r="S19" i="4"/>
  <c r="S21" i="4"/>
  <c r="S13" i="4"/>
</calcChain>
</file>

<file path=xl/sharedStrings.xml><?xml version="1.0" encoding="utf-8"?>
<sst xmlns="http://schemas.openxmlformats.org/spreadsheetml/2006/main" count="515" uniqueCount="48">
  <si>
    <t>ID</t>
  </si>
  <si>
    <t>Group</t>
  </si>
  <si>
    <t>Age</t>
  </si>
  <si>
    <t xml:space="preserve">Perfusion Day </t>
  </si>
  <si>
    <t>Notes</t>
  </si>
  <si>
    <t>Adult</t>
  </si>
  <si>
    <t>Aged</t>
  </si>
  <si>
    <t>EtOH</t>
  </si>
  <si>
    <t>Control</t>
  </si>
  <si>
    <t>T38</t>
  </si>
  <si>
    <t>Conrol</t>
  </si>
  <si>
    <t>OF Binge</t>
  </si>
  <si>
    <t>Binge BW % Change</t>
  </si>
  <si>
    <t>Pre MWM: BW 8/4/25</t>
  </si>
  <si>
    <t>Day 1 Avg</t>
  </si>
  <si>
    <t>Day 2 Avg</t>
  </si>
  <si>
    <t>Day 1 Sum</t>
  </si>
  <si>
    <t>Day 2 Sum</t>
  </si>
  <si>
    <t>Trial 1</t>
  </si>
  <si>
    <t>Trial 2</t>
  </si>
  <si>
    <t>Trial 3</t>
  </si>
  <si>
    <t>Avg</t>
  </si>
  <si>
    <t>SEM</t>
  </si>
  <si>
    <t>% Difference</t>
  </si>
  <si>
    <t>Run: LS, Date</t>
  </si>
  <si>
    <t xml:space="preserve">OFB1 Binge Volumes </t>
  </si>
  <si>
    <t>OFB1 EtOH Dose</t>
  </si>
  <si>
    <t>OFB1 Intoxication Behavioral Scores</t>
  </si>
  <si>
    <t>OFB1 Body Weights</t>
  </si>
  <si>
    <t>Y</t>
  </si>
  <si>
    <t>N</t>
  </si>
  <si>
    <t>Tail Mark</t>
  </si>
  <si>
    <t>BW 7/2/25</t>
  </si>
  <si>
    <t>BW 7/6/25</t>
  </si>
  <si>
    <t>BW 7/8/25</t>
  </si>
  <si>
    <t>Cage #</t>
  </si>
  <si>
    <t>Mark</t>
  </si>
  <si>
    <t>Treatment</t>
  </si>
  <si>
    <t>CON</t>
  </si>
  <si>
    <t>7/6/25 - 11 PM</t>
  </si>
  <si>
    <t>7/6/25 - 3 PM</t>
  </si>
  <si>
    <t>7/7/25 - 7 AM</t>
  </si>
  <si>
    <t>7/7/25 - 3 PM</t>
  </si>
  <si>
    <t>7/7/25 - 11 PM</t>
  </si>
  <si>
    <t>7/8/25 - 7 AM</t>
  </si>
  <si>
    <t>OFB1 BECs: Collected 7/8/25</t>
  </si>
  <si>
    <t>Sorted</t>
  </si>
  <si>
    <t xml:space="preserve">Sorted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</si>
</sst>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34" xfId="0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2" fontId="0" fillId="0" borderId="15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" xfId="0" applyNumberFormat="1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2" fontId="0" fillId="0" borderId="30" xfId="0" applyNumberForma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4" borderId="31" xfId="0" applyNumberFormat="1" applyFill="1" applyBorder="1" applyAlignment="1">
      <alignment horizontal="center"/>
    </xf>
    <xf numFmtId="2" fontId="0" fillId="4" borderId="32" xfId="0" applyNumberForma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/>
    <xf numFmtId="0" fontId="1" fillId="0" borderId="41" xfId="0" applyFont="1" applyBorder="1" applyAlignment="1">
      <alignment horizontal="center" vertical="center"/>
    </xf>
    <xf numFmtId="164" fontId="0" fillId="0" borderId="38" xfId="0" applyNumberFormat="1" applyBorder="1" applyAlignment="1">
      <alignment horizontal="center"/>
    </xf>
    <xf numFmtId="164" fontId="0" fillId="0" borderId="26" xfId="0" applyNumberFormat="1" applyBorder="1" applyAlignment="1">
      <alignment horizontal="center"/>
    </xf>
    <xf numFmtId="164" fontId="0" fillId="0" borderId="42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31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164" fontId="0" fillId="0" borderId="6" xfId="0" applyNumberFormat="1" applyBorder="1" applyAlignment="1">
      <alignment horizontal="center"/>
    </xf>
    <xf numFmtId="164" fontId="0" fillId="0" borderId="32" xfId="0" applyNumberFormat="1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0" fontId="0" fillId="0" borderId="1" xfId="0" applyBorder="1"/>
    <xf numFmtId="0" fontId="0" fillId="0" borderId="15" xfId="0" applyBorder="1"/>
    <xf numFmtId="0" fontId="0" fillId="0" borderId="16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38" xfId="0" applyBorder="1"/>
    <xf numFmtId="0" fontId="0" fillId="0" borderId="26" xfId="0" applyBorder="1"/>
    <xf numFmtId="0" fontId="0" fillId="0" borderId="39" xfId="0" applyBorder="1"/>
    <xf numFmtId="0" fontId="0" fillId="0" borderId="8" xfId="0" applyBorder="1"/>
    <xf numFmtId="0" fontId="0" fillId="0" borderId="14" xfId="0" applyBorder="1"/>
    <xf numFmtId="0" fontId="0" fillId="0" borderId="13" xfId="0" applyBorder="1"/>
    <xf numFmtId="164" fontId="0" fillId="0" borderId="38" xfId="0" applyNumberFormat="1" applyBorder="1"/>
    <xf numFmtId="164" fontId="0" fillId="0" borderId="26" xfId="0" applyNumberFormat="1" applyBorder="1"/>
    <xf numFmtId="164" fontId="0" fillId="0" borderId="39" xfId="0" applyNumberFormat="1" applyBorder="1"/>
    <xf numFmtId="164" fontId="0" fillId="0" borderId="3" xfId="0" applyNumberFormat="1" applyBorder="1"/>
    <xf numFmtId="164" fontId="0" fillId="0" borderId="1" xfId="0" applyNumberFormat="1" applyBorder="1"/>
    <xf numFmtId="164" fontId="0" fillId="0" borderId="4" xfId="0" applyNumberFormat="1" applyBorder="1"/>
    <xf numFmtId="164" fontId="0" fillId="0" borderId="5" xfId="0" applyNumberFormat="1" applyBorder="1"/>
    <xf numFmtId="164" fontId="0" fillId="0" borderId="6" xfId="0" applyNumberFormat="1" applyBorder="1"/>
    <xf numFmtId="164" fontId="0" fillId="0" borderId="7" xfId="0" applyNumberFormat="1" applyBorder="1"/>
    <xf numFmtId="164" fontId="0" fillId="0" borderId="15" xfId="0" applyNumberFormat="1" applyBorder="1"/>
    <xf numFmtId="164" fontId="0" fillId="0" borderId="16" xfId="0" applyNumberFormat="1" applyBorder="1"/>
    <xf numFmtId="164" fontId="0" fillId="0" borderId="2" xfId="0" applyNumberFormat="1" applyBorder="1"/>
    <xf numFmtId="0" fontId="0" fillId="5" borderId="0" xfId="0" applyFill="1"/>
    <xf numFmtId="0" fontId="1" fillId="5" borderId="0" xfId="0" applyFont="1" applyFill="1"/>
    <xf numFmtId="0" fontId="0" fillId="0" borderId="23" xfId="0" applyBorder="1"/>
    <xf numFmtId="0" fontId="0" fillId="0" borderId="24" xfId="0" applyBorder="1"/>
    <xf numFmtId="0" fontId="0" fillId="0" borderId="25" xfId="0" applyBorder="1"/>
    <xf numFmtId="164" fontId="0" fillId="0" borderId="23" xfId="0" applyNumberFormat="1" applyBorder="1"/>
    <xf numFmtId="164" fontId="0" fillId="0" borderId="24" xfId="0" applyNumberFormat="1" applyBorder="1"/>
    <xf numFmtId="164" fontId="0" fillId="0" borderId="25" xfId="0" applyNumberFormat="1" applyBorder="1"/>
    <xf numFmtId="0" fontId="0" fillId="0" borderId="44" xfId="0" applyBorder="1"/>
    <xf numFmtId="0" fontId="0" fillId="2" borderId="8" xfId="0" applyFill="1" applyBorder="1"/>
    <xf numFmtId="0" fontId="0" fillId="2" borderId="14" xfId="0" applyFill="1" applyBorder="1"/>
    <xf numFmtId="0" fontId="0" fillId="2" borderId="13" xfId="0" applyFill="1" applyBorder="1"/>
    <xf numFmtId="164" fontId="0" fillId="2" borderId="8" xfId="0" applyNumberFormat="1" applyFill="1" applyBorder="1"/>
    <xf numFmtId="164" fontId="0" fillId="2" borderId="43" xfId="0" applyNumberFormat="1" applyFill="1" applyBorder="1"/>
    <xf numFmtId="0" fontId="0" fillId="2" borderId="9" xfId="0" applyFill="1" applyBorder="1"/>
    <xf numFmtId="164" fontId="0" fillId="2" borderId="45" xfId="0" applyNumberFormat="1" applyFill="1" applyBorder="1"/>
    <xf numFmtId="0" fontId="0" fillId="2" borderId="43" xfId="0" applyFill="1" applyBorder="1"/>
    <xf numFmtId="0" fontId="3" fillId="2" borderId="14" xfId="0" applyFont="1" applyFill="1" applyBorder="1"/>
    <xf numFmtId="0" fontId="4" fillId="0" borderId="8" xfId="0" applyFont="1" applyBorder="1"/>
    <xf numFmtId="0" fontId="4" fillId="0" borderId="14" xfId="0" applyFont="1" applyBorder="1"/>
    <xf numFmtId="0" fontId="4" fillId="0" borderId="13" xfId="0" applyFont="1" applyBorder="1"/>
    <xf numFmtId="0" fontId="4" fillId="0" borderId="9" xfId="0" applyFont="1" applyBorder="1"/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2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FF"/>
      <color rgb="FFF754B1"/>
      <color rgb="FFEB28E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D4C2D-1E98-477A-A2B0-142361B6C0F1}">
  <dimension ref="A1:X22"/>
  <sheetViews>
    <sheetView zoomScale="90" zoomScaleNormal="90" workbookViewId="0">
      <selection activeCell="T11" sqref="T11"/>
    </sheetView>
  </sheetViews>
  <sheetFormatPr defaultRowHeight="14.4" x14ac:dyDescent="0.3"/>
  <cols>
    <col min="4" max="5" width="10.33203125" customWidth="1"/>
    <col min="6" max="6" width="14.33203125" customWidth="1"/>
    <col min="7" max="9" width="13.88671875" customWidth="1"/>
    <col min="10" max="10" width="21" customWidth="1"/>
    <col min="11" max="11" width="21.88671875" customWidth="1"/>
    <col min="12" max="12" width="56.6640625" customWidth="1"/>
    <col min="15" max="15" width="13.6640625" customWidth="1"/>
    <col min="17" max="17" width="9.109375" customWidth="1"/>
    <col min="18" max="18" width="11.5546875" customWidth="1"/>
  </cols>
  <sheetData>
    <row r="1" spans="1:24" ht="37.200000000000003" customHeight="1" thickBot="1" x14ac:dyDescent="0.4">
      <c r="A1" s="24" t="s">
        <v>28</v>
      </c>
    </row>
    <row r="2" spans="1:24" ht="29.4" customHeight="1" thickBot="1" x14ac:dyDescent="0.35">
      <c r="A2" s="6" t="s">
        <v>0</v>
      </c>
      <c r="B2" s="7" t="s">
        <v>1</v>
      </c>
      <c r="C2" s="7" t="s">
        <v>2</v>
      </c>
      <c r="D2" s="7" t="s">
        <v>35</v>
      </c>
      <c r="E2" s="7" t="s">
        <v>11</v>
      </c>
      <c r="F2" s="22" t="s">
        <v>3</v>
      </c>
      <c r="G2" s="38" t="s">
        <v>32</v>
      </c>
      <c r="H2" s="39" t="s">
        <v>33</v>
      </c>
      <c r="I2" s="40" t="s">
        <v>34</v>
      </c>
      <c r="J2" s="53" t="s">
        <v>12</v>
      </c>
      <c r="K2" s="51" t="s">
        <v>13</v>
      </c>
      <c r="L2" s="21" t="s">
        <v>4</v>
      </c>
      <c r="N2" s="6" t="s">
        <v>35</v>
      </c>
      <c r="O2" s="7" t="s">
        <v>32</v>
      </c>
      <c r="P2" s="7" t="s">
        <v>36</v>
      </c>
      <c r="Q2" s="7" t="s">
        <v>2</v>
      </c>
      <c r="R2" s="22" t="s">
        <v>37</v>
      </c>
    </row>
    <row r="3" spans="1:24" ht="28.2" customHeight="1" x14ac:dyDescent="0.3">
      <c r="A3" s="5">
        <v>1</v>
      </c>
      <c r="B3" s="11" t="s">
        <v>8</v>
      </c>
      <c r="C3" s="11" t="s">
        <v>5</v>
      </c>
      <c r="D3" s="145">
        <v>499</v>
      </c>
      <c r="E3" s="11">
        <v>1</v>
      </c>
      <c r="F3" s="30" t="s">
        <v>9</v>
      </c>
      <c r="G3" s="50">
        <v>137</v>
      </c>
      <c r="H3" s="11">
        <v>142</v>
      </c>
      <c r="I3" s="30">
        <v>132</v>
      </c>
      <c r="J3" s="54">
        <f>((H3-I3)*100)/H3</f>
        <v>7.042253521126761</v>
      </c>
      <c r="K3" s="15"/>
      <c r="L3" s="18"/>
      <c r="N3" s="139">
        <v>78</v>
      </c>
      <c r="O3" s="35">
        <v>328</v>
      </c>
      <c r="P3" s="35" t="s">
        <v>29</v>
      </c>
      <c r="Q3" s="140" t="s">
        <v>6</v>
      </c>
      <c r="R3" s="132" t="s">
        <v>7</v>
      </c>
      <c r="S3" s="27">
        <f t="shared" ref="S3" si="0">AVERAGE(O3:O4)</f>
        <v>311</v>
      </c>
      <c r="T3" s="27"/>
      <c r="U3" s="27"/>
      <c r="V3" s="27"/>
      <c r="W3" s="27"/>
      <c r="X3" s="27"/>
    </row>
    <row r="4" spans="1:24" ht="28.2" customHeight="1" x14ac:dyDescent="0.3">
      <c r="A4" s="12">
        <v>2</v>
      </c>
      <c r="B4" s="13" t="s">
        <v>8</v>
      </c>
      <c r="C4" s="13" t="s">
        <v>5</v>
      </c>
      <c r="D4" s="142"/>
      <c r="E4" s="13">
        <v>1</v>
      </c>
      <c r="F4" s="31" t="s">
        <v>9</v>
      </c>
      <c r="G4" s="42">
        <v>159</v>
      </c>
      <c r="H4" s="13">
        <v>165</v>
      </c>
      <c r="I4" s="31">
        <v>157</v>
      </c>
      <c r="J4" s="55">
        <f t="shared" ref="J4:J22" si="1">((H4-I4)*100)/H4</f>
        <v>4.8484848484848486</v>
      </c>
      <c r="K4" s="16"/>
      <c r="L4" s="19"/>
      <c r="N4" s="128"/>
      <c r="O4" s="36">
        <v>294</v>
      </c>
      <c r="P4" s="36" t="s">
        <v>30</v>
      </c>
      <c r="Q4" s="129"/>
      <c r="R4" s="127"/>
      <c r="S4" s="27"/>
      <c r="T4" s="27"/>
      <c r="U4" s="27"/>
      <c r="V4" s="27"/>
      <c r="W4" s="27"/>
      <c r="X4" s="27"/>
    </row>
    <row r="5" spans="1:24" ht="28.2" customHeight="1" x14ac:dyDescent="0.3">
      <c r="A5" s="12">
        <v>3</v>
      </c>
      <c r="B5" s="13" t="s">
        <v>7</v>
      </c>
      <c r="C5" s="13" t="s">
        <v>6</v>
      </c>
      <c r="D5" s="141">
        <v>78</v>
      </c>
      <c r="E5" s="13">
        <v>1</v>
      </c>
      <c r="F5" s="31" t="s">
        <v>9</v>
      </c>
      <c r="G5" s="42">
        <v>328</v>
      </c>
      <c r="H5" s="13">
        <v>320</v>
      </c>
      <c r="I5" s="31">
        <v>304</v>
      </c>
      <c r="J5" s="56">
        <f t="shared" si="1"/>
        <v>5</v>
      </c>
      <c r="K5" s="16"/>
      <c r="L5" s="19"/>
      <c r="N5" s="128">
        <v>79</v>
      </c>
      <c r="O5" s="36">
        <v>280</v>
      </c>
      <c r="P5" s="36" t="s">
        <v>29</v>
      </c>
      <c r="Q5" s="129" t="s">
        <v>6</v>
      </c>
      <c r="R5" s="127" t="s">
        <v>38</v>
      </c>
      <c r="S5" s="27">
        <f t="shared" ref="S5" si="2">AVERAGE(O5:O6)</f>
        <v>274</v>
      </c>
      <c r="T5" s="27"/>
      <c r="U5" s="27"/>
      <c r="V5" s="27"/>
      <c r="W5" s="27"/>
      <c r="X5" s="27"/>
    </row>
    <row r="6" spans="1:24" ht="28.2" customHeight="1" x14ac:dyDescent="0.3">
      <c r="A6" s="12">
        <v>4</v>
      </c>
      <c r="B6" s="13" t="s">
        <v>7</v>
      </c>
      <c r="C6" s="13" t="s">
        <v>6</v>
      </c>
      <c r="D6" s="142"/>
      <c r="E6" s="13">
        <v>1</v>
      </c>
      <c r="F6" s="31" t="s">
        <v>9</v>
      </c>
      <c r="G6" s="42">
        <v>294</v>
      </c>
      <c r="H6" s="13">
        <v>290</v>
      </c>
      <c r="I6" s="31">
        <v>276</v>
      </c>
      <c r="J6" s="56">
        <f t="shared" si="1"/>
        <v>4.8275862068965516</v>
      </c>
      <c r="K6" s="16"/>
      <c r="L6" s="19"/>
      <c r="N6" s="128"/>
      <c r="O6" s="36">
        <v>268</v>
      </c>
      <c r="P6" s="36" t="s">
        <v>30</v>
      </c>
      <c r="Q6" s="129"/>
      <c r="R6" s="127"/>
      <c r="S6" s="27"/>
      <c r="T6" s="27"/>
      <c r="U6" s="27"/>
      <c r="V6" s="27"/>
      <c r="W6" s="27"/>
      <c r="X6" s="27"/>
    </row>
    <row r="7" spans="1:24" ht="28.2" customHeight="1" x14ac:dyDescent="0.3">
      <c r="A7" s="12">
        <v>5</v>
      </c>
      <c r="B7" s="13" t="s">
        <v>10</v>
      </c>
      <c r="C7" s="13" t="s">
        <v>6</v>
      </c>
      <c r="D7" s="141">
        <v>79</v>
      </c>
      <c r="E7" s="13">
        <v>1</v>
      </c>
      <c r="F7" s="31" t="s">
        <v>9</v>
      </c>
      <c r="G7" s="42">
        <v>280</v>
      </c>
      <c r="H7" s="13">
        <v>275</v>
      </c>
      <c r="I7" s="31">
        <v>261</v>
      </c>
      <c r="J7" s="55">
        <f t="shared" si="1"/>
        <v>5.0909090909090908</v>
      </c>
      <c r="K7" s="16"/>
      <c r="L7" s="19"/>
      <c r="N7" s="128">
        <v>80</v>
      </c>
      <c r="O7" s="36">
        <v>342</v>
      </c>
      <c r="P7" s="36" t="s">
        <v>29</v>
      </c>
      <c r="Q7" s="129" t="s">
        <v>6</v>
      </c>
      <c r="R7" s="127" t="s">
        <v>38</v>
      </c>
      <c r="S7" s="27">
        <f t="shared" ref="S7" si="3">AVERAGE(O7:O8)</f>
        <v>311.5</v>
      </c>
      <c r="T7" s="27"/>
      <c r="U7" s="27"/>
      <c r="V7" s="27"/>
      <c r="W7" s="27"/>
      <c r="X7" s="27"/>
    </row>
    <row r="8" spans="1:24" ht="28.2" customHeight="1" x14ac:dyDescent="0.3">
      <c r="A8" s="12">
        <v>6</v>
      </c>
      <c r="B8" s="13" t="s">
        <v>8</v>
      </c>
      <c r="C8" s="13" t="s">
        <v>6</v>
      </c>
      <c r="D8" s="142"/>
      <c r="E8" s="13">
        <v>1</v>
      </c>
      <c r="F8" s="31" t="s">
        <v>9</v>
      </c>
      <c r="G8" s="42">
        <v>268</v>
      </c>
      <c r="H8" s="13">
        <v>267</v>
      </c>
      <c r="I8" s="31">
        <v>246</v>
      </c>
      <c r="J8" s="55">
        <f t="shared" si="1"/>
        <v>7.8651685393258424</v>
      </c>
      <c r="K8" s="16"/>
      <c r="L8" s="19"/>
      <c r="N8" s="128"/>
      <c r="O8" s="36">
        <v>281</v>
      </c>
      <c r="P8" s="36" t="s">
        <v>30</v>
      </c>
      <c r="Q8" s="129"/>
      <c r="R8" s="127"/>
      <c r="S8" s="27"/>
      <c r="T8" s="27"/>
      <c r="U8" s="27"/>
      <c r="V8" s="27"/>
      <c r="W8" s="27"/>
      <c r="X8" s="27"/>
    </row>
    <row r="9" spans="1:24" ht="28.2" customHeight="1" x14ac:dyDescent="0.3">
      <c r="A9" s="12">
        <v>7</v>
      </c>
      <c r="B9" s="13" t="s">
        <v>7</v>
      </c>
      <c r="C9" s="13" t="s">
        <v>5</v>
      </c>
      <c r="D9" s="141">
        <v>500</v>
      </c>
      <c r="E9" s="13">
        <v>1</v>
      </c>
      <c r="F9" s="31" t="s">
        <v>9</v>
      </c>
      <c r="G9" s="42">
        <v>147</v>
      </c>
      <c r="H9" s="13">
        <v>153</v>
      </c>
      <c r="I9" s="31">
        <v>136</v>
      </c>
      <c r="J9" s="56">
        <f t="shared" si="1"/>
        <v>11.111111111111111</v>
      </c>
      <c r="K9" s="16"/>
      <c r="L9" s="19"/>
      <c r="N9" s="128">
        <v>81</v>
      </c>
      <c r="O9" s="36">
        <v>274</v>
      </c>
      <c r="P9" s="36" t="s">
        <v>29</v>
      </c>
      <c r="Q9" s="129" t="s">
        <v>6</v>
      </c>
      <c r="R9" s="127" t="s">
        <v>7</v>
      </c>
      <c r="S9" s="27">
        <f t="shared" ref="S9" si="4">AVERAGE(O9:O10)</f>
        <v>290.5</v>
      </c>
      <c r="T9" s="27"/>
      <c r="U9" s="27"/>
      <c r="V9" s="27"/>
      <c r="W9" s="27"/>
      <c r="X9" s="27"/>
    </row>
    <row r="10" spans="1:24" ht="28.2" customHeight="1" x14ac:dyDescent="0.3">
      <c r="A10" s="12">
        <v>8</v>
      </c>
      <c r="B10" s="13" t="s">
        <v>7</v>
      </c>
      <c r="C10" s="13" t="s">
        <v>5</v>
      </c>
      <c r="D10" s="142"/>
      <c r="E10" s="13">
        <v>1</v>
      </c>
      <c r="F10" s="31" t="s">
        <v>9</v>
      </c>
      <c r="G10" s="42">
        <v>139</v>
      </c>
      <c r="H10" s="13">
        <v>150</v>
      </c>
      <c r="I10" s="31">
        <v>140</v>
      </c>
      <c r="J10" s="56">
        <f t="shared" si="1"/>
        <v>6.666666666666667</v>
      </c>
      <c r="K10" s="16"/>
      <c r="L10" s="19"/>
      <c r="N10" s="128"/>
      <c r="O10" s="36">
        <v>307</v>
      </c>
      <c r="P10" s="36" t="s">
        <v>30</v>
      </c>
      <c r="Q10" s="129"/>
      <c r="R10" s="127"/>
      <c r="S10" s="27"/>
      <c r="T10" s="27"/>
      <c r="U10" s="27"/>
      <c r="V10" s="27"/>
      <c r="W10" s="27"/>
      <c r="X10" s="27"/>
    </row>
    <row r="11" spans="1:24" ht="28.2" customHeight="1" x14ac:dyDescent="0.3">
      <c r="A11" s="12">
        <v>9</v>
      </c>
      <c r="B11" s="13" t="s">
        <v>8</v>
      </c>
      <c r="C11" s="13" t="s">
        <v>5</v>
      </c>
      <c r="D11" s="141">
        <v>501</v>
      </c>
      <c r="E11" s="13">
        <v>1</v>
      </c>
      <c r="F11" s="31" t="s">
        <v>9</v>
      </c>
      <c r="G11" s="42">
        <v>173</v>
      </c>
      <c r="H11" s="13">
        <v>180</v>
      </c>
      <c r="I11" s="31">
        <v>163</v>
      </c>
      <c r="J11" s="55">
        <f t="shared" si="1"/>
        <v>9.4444444444444446</v>
      </c>
      <c r="K11" s="16"/>
      <c r="L11" s="19"/>
      <c r="N11" s="128">
        <v>82</v>
      </c>
      <c r="O11" s="36">
        <v>288</v>
      </c>
      <c r="P11" s="36" t="s">
        <v>29</v>
      </c>
      <c r="Q11" s="129" t="s">
        <v>6</v>
      </c>
      <c r="R11" s="127" t="s">
        <v>7</v>
      </c>
      <c r="S11" s="27">
        <f t="shared" ref="S11" si="5">AVERAGE(O11:O12)</f>
        <v>287</v>
      </c>
      <c r="T11" s="27"/>
      <c r="U11" s="27"/>
      <c r="V11" s="27"/>
      <c r="W11" s="27"/>
      <c r="X11" s="27"/>
    </row>
    <row r="12" spans="1:24" ht="28.2" customHeight="1" thickBot="1" x14ac:dyDescent="0.35">
      <c r="A12" s="12">
        <v>10</v>
      </c>
      <c r="B12" s="13" t="s">
        <v>8</v>
      </c>
      <c r="C12" s="13" t="s">
        <v>5</v>
      </c>
      <c r="D12" s="142"/>
      <c r="E12" s="13">
        <v>1</v>
      </c>
      <c r="F12" s="31" t="s">
        <v>9</v>
      </c>
      <c r="G12" s="42">
        <v>169</v>
      </c>
      <c r="H12" s="13">
        <v>178</v>
      </c>
      <c r="I12" s="31">
        <v>163</v>
      </c>
      <c r="J12" s="55">
        <f t="shared" si="1"/>
        <v>8.4269662921348321</v>
      </c>
      <c r="K12" s="16"/>
      <c r="L12" s="19"/>
      <c r="N12" s="131"/>
      <c r="O12" s="37">
        <v>286</v>
      </c>
      <c r="P12" s="37" t="s">
        <v>30</v>
      </c>
      <c r="Q12" s="130"/>
      <c r="R12" s="133"/>
      <c r="S12" s="27"/>
      <c r="T12" s="27"/>
      <c r="U12" s="27"/>
      <c r="V12" s="27"/>
      <c r="W12" s="27"/>
      <c r="X12" s="27"/>
    </row>
    <row r="13" spans="1:24" ht="28.2" customHeight="1" x14ac:dyDescent="0.3">
      <c r="A13" s="12">
        <v>11</v>
      </c>
      <c r="B13" s="13" t="s">
        <v>7</v>
      </c>
      <c r="C13" s="13" t="s">
        <v>6</v>
      </c>
      <c r="D13" s="141">
        <v>81</v>
      </c>
      <c r="E13" s="13">
        <v>1</v>
      </c>
      <c r="F13" s="31" t="s">
        <v>9</v>
      </c>
      <c r="G13" s="42">
        <v>274</v>
      </c>
      <c r="H13" s="13">
        <v>278</v>
      </c>
      <c r="I13" s="31">
        <v>255</v>
      </c>
      <c r="J13" s="56">
        <f t="shared" si="1"/>
        <v>8.2733812949640289</v>
      </c>
      <c r="K13" s="16"/>
      <c r="L13" s="19"/>
      <c r="N13" s="136">
        <v>499</v>
      </c>
      <c r="O13" s="33">
        <v>137</v>
      </c>
      <c r="P13" s="33" t="s">
        <v>29</v>
      </c>
      <c r="Q13" s="134" t="s">
        <v>5</v>
      </c>
      <c r="R13" s="138" t="s">
        <v>38</v>
      </c>
      <c r="S13" s="27">
        <f>AVERAGE(O13:O14)</f>
        <v>148</v>
      </c>
      <c r="T13" s="27"/>
      <c r="U13" s="27"/>
      <c r="V13" s="27"/>
      <c r="W13" s="27"/>
      <c r="X13" s="27"/>
    </row>
    <row r="14" spans="1:24" ht="28.2" customHeight="1" x14ac:dyDescent="0.3">
      <c r="A14" s="12">
        <v>12</v>
      </c>
      <c r="B14" s="13" t="s">
        <v>7</v>
      </c>
      <c r="C14" s="13" t="s">
        <v>6</v>
      </c>
      <c r="D14" s="142"/>
      <c r="E14" s="13">
        <v>1</v>
      </c>
      <c r="F14" s="31" t="s">
        <v>9</v>
      </c>
      <c r="G14" s="42">
        <v>307</v>
      </c>
      <c r="H14" s="13">
        <v>310</v>
      </c>
      <c r="I14" s="31">
        <v>291</v>
      </c>
      <c r="J14" s="56">
        <f t="shared" si="1"/>
        <v>6.129032258064516</v>
      </c>
      <c r="K14" s="16"/>
      <c r="L14" s="19"/>
      <c r="N14" s="137"/>
      <c r="O14" s="34">
        <v>159</v>
      </c>
      <c r="P14" s="34" t="s">
        <v>30</v>
      </c>
      <c r="Q14" s="135"/>
      <c r="R14" s="126"/>
      <c r="S14" s="27"/>
      <c r="T14" s="27"/>
      <c r="U14" s="27"/>
      <c r="V14" s="27"/>
      <c r="W14" s="27"/>
      <c r="X14" s="27"/>
    </row>
    <row r="15" spans="1:24" ht="28.2" customHeight="1" x14ac:dyDescent="0.3">
      <c r="A15" s="12">
        <v>13</v>
      </c>
      <c r="B15" s="13" t="s">
        <v>10</v>
      </c>
      <c r="C15" s="13" t="s">
        <v>6</v>
      </c>
      <c r="D15" s="141">
        <v>80</v>
      </c>
      <c r="E15" s="13">
        <v>1</v>
      </c>
      <c r="F15" s="31" t="s">
        <v>9</v>
      </c>
      <c r="G15" s="42">
        <v>342</v>
      </c>
      <c r="H15" s="13">
        <v>337</v>
      </c>
      <c r="I15" s="31">
        <v>316</v>
      </c>
      <c r="J15" s="55">
        <f t="shared" si="1"/>
        <v>6.2314540059347179</v>
      </c>
      <c r="K15" s="16"/>
      <c r="L15" s="19"/>
      <c r="N15" s="137">
        <v>500</v>
      </c>
      <c r="O15" s="34">
        <v>147</v>
      </c>
      <c r="P15" s="34" t="s">
        <v>29</v>
      </c>
      <c r="Q15" s="135" t="s">
        <v>5</v>
      </c>
      <c r="R15" s="126" t="s">
        <v>7</v>
      </c>
      <c r="S15" s="27">
        <f t="shared" ref="S15" si="6">AVERAGE(O15:O16)</f>
        <v>143</v>
      </c>
      <c r="T15" s="27"/>
      <c r="U15" s="27"/>
      <c r="V15" s="27"/>
      <c r="W15" s="27"/>
      <c r="X15" s="27"/>
    </row>
    <row r="16" spans="1:24" ht="28.2" customHeight="1" x14ac:dyDescent="0.3">
      <c r="A16" s="12">
        <v>14</v>
      </c>
      <c r="B16" s="13" t="s">
        <v>8</v>
      </c>
      <c r="C16" s="13" t="s">
        <v>6</v>
      </c>
      <c r="D16" s="142"/>
      <c r="E16" s="13">
        <v>1</v>
      </c>
      <c r="F16" s="31" t="s">
        <v>9</v>
      </c>
      <c r="G16" s="42">
        <v>281</v>
      </c>
      <c r="H16" s="13">
        <v>281</v>
      </c>
      <c r="I16" s="31">
        <v>255</v>
      </c>
      <c r="J16" s="55">
        <f t="shared" si="1"/>
        <v>9.252669039145907</v>
      </c>
      <c r="K16" s="16"/>
      <c r="L16" s="19"/>
      <c r="N16" s="137"/>
      <c r="O16" s="34">
        <v>139</v>
      </c>
      <c r="P16" s="34" t="s">
        <v>30</v>
      </c>
      <c r="Q16" s="135"/>
      <c r="R16" s="126"/>
      <c r="S16" s="27"/>
      <c r="T16" s="27"/>
      <c r="U16" s="27"/>
      <c r="V16" s="27"/>
      <c r="W16" s="27"/>
      <c r="X16" s="27"/>
    </row>
    <row r="17" spans="1:24" ht="28.2" customHeight="1" x14ac:dyDescent="0.3">
      <c r="A17" s="12">
        <v>15</v>
      </c>
      <c r="B17" s="13" t="s">
        <v>7</v>
      </c>
      <c r="C17" s="13" t="s">
        <v>5</v>
      </c>
      <c r="D17" s="141">
        <v>502</v>
      </c>
      <c r="E17" s="13">
        <v>1</v>
      </c>
      <c r="F17" s="31" t="s">
        <v>9</v>
      </c>
      <c r="G17" s="42">
        <v>142</v>
      </c>
      <c r="H17" s="13">
        <v>146</v>
      </c>
      <c r="I17" s="31">
        <v>127</v>
      </c>
      <c r="J17" s="56">
        <f t="shared" si="1"/>
        <v>13.013698630136986</v>
      </c>
      <c r="K17" s="16"/>
      <c r="L17" s="19"/>
      <c r="N17" s="137">
        <v>501</v>
      </c>
      <c r="O17" s="34">
        <v>173</v>
      </c>
      <c r="P17" s="34" t="s">
        <v>29</v>
      </c>
      <c r="Q17" s="135" t="s">
        <v>5</v>
      </c>
      <c r="R17" s="126" t="s">
        <v>38</v>
      </c>
      <c r="S17" s="27">
        <f>AVERAGE(O17:O18)</f>
        <v>171</v>
      </c>
      <c r="T17" s="27"/>
      <c r="U17" s="27"/>
      <c r="V17" s="27"/>
      <c r="W17" s="27"/>
      <c r="X17" s="27"/>
    </row>
    <row r="18" spans="1:24" ht="28.2" customHeight="1" x14ac:dyDescent="0.3">
      <c r="A18" s="12">
        <v>16</v>
      </c>
      <c r="B18" s="13" t="s">
        <v>7</v>
      </c>
      <c r="C18" s="13" t="s">
        <v>5</v>
      </c>
      <c r="D18" s="142"/>
      <c r="E18" s="13">
        <v>1</v>
      </c>
      <c r="F18" s="31" t="s">
        <v>9</v>
      </c>
      <c r="G18" s="42">
        <v>161</v>
      </c>
      <c r="H18" s="13">
        <v>168</v>
      </c>
      <c r="I18" s="31">
        <v>161</v>
      </c>
      <c r="J18" s="56">
        <f t="shared" si="1"/>
        <v>4.166666666666667</v>
      </c>
      <c r="K18" s="16"/>
      <c r="L18" s="19"/>
      <c r="N18" s="137"/>
      <c r="O18" s="34">
        <v>169</v>
      </c>
      <c r="P18" s="34" t="s">
        <v>30</v>
      </c>
      <c r="Q18" s="135"/>
      <c r="R18" s="126"/>
      <c r="S18" s="27"/>
      <c r="T18" s="27"/>
      <c r="U18" s="27"/>
      <c r="V18" s="27"/>
      <c r="W18" s="27"/>
      <c r="X18" s="27"/>
    </row>
    <row r="19" spans="1:24" ht="28.2" customHeight="1" x14ac:dyDescent="0.3">
      <c r="A19" s="12">
        <v>17</v>
      </c>
      <c r="B19" s="13" t="s">
        <v>8</v>
      </c>
      <c r="C19" s="13" t="s">
        <v>5</v>
      </c>
      <c r="D19" s="141">
        <v>503</v>
      </c>
      <c r="E19" s="13">
        <v>1</v>
      </c>
      <c r="F19" s="31" t="s">
        <v>9</v>
      </c>
      <c r="G19" s="42">
        <v>151</v>
      </c>
      <c r="H19" s="13">
        <v>157</v>
      </c>
      <c r="I19" s="31">
        <v>144</v>
      </c>
      <c r="J19" s="55">
        <f t="shared" si="1"/>
        <v>8.2802547770700645</v>
      </c>
      <c r="K19" s="16"/>
      <c r="L19" s="19"/>
      <c r="N19" s="144">
        <v>502</v>
      </c>
      <c r="O19" s="28">
        <v>142</v>
      </c>
      <c r="P19" s="28" t="s">
        <v>29</v>
      </c>
      <c r="Q19" s="143" t="s">
        <v>5</v>
      </c>
      <c r="R19" s="147" t="s">
        <v>38</v>
      </c>
      <c r="S19" s="27">
        <f t="shared" ref="S19" si="7">AVERAGE(O19:O20)</f>
        <v>151.5</v>
      </c>
      <c r="T19" s="27"/>
      <c r="U19" s="27"/>
      <c r="V19" s="27"/>
      <c r="W19" s="27"/>
      <c r="X19" s="27"/>
    </row>
    <row r="20" spans="1:24" ht="28.2" customHeight="1" x14ac:dyDescent="0.3">
      <c r="A20" s="12">
        <v>18</v>
      </c>
      <c r="B20" s="13" t="s">
        <v>8</v>
      </c>
      <c r="C20" s="13" t="s">
        <v>5</v>
      </c>
      <c r="D20" s="142"/>
      <c r="E20" s="13">
        <v>1</v>
      </c>
      <c r="F20" s="31" t="s">
        <v>9</v>
      </c>
      <c r="G20" s="42">
        <v>164</v>
      </c>
      <c r="H20" s="13">
        <v>171</v>
      </c>
      <c r="I20" s="31">
        <v>156</v>
      </c>
      <c r="J20" s="55">
        <f t="shared" si="1"/>
        <v>8.7719298245614041</v>
      </c>
      <c r="K20" s="16"/>
      <c r="L20" s="19"/>
      <c r="N20" s="144"/>
      <c r="O20" s="28">
        <v>161</v>
      </c>
      <c r="P20" s="28" t="s">
        <v>30</v>
      </c>
      <c r="Q20" s="143"/>
      <c r="R20" s="147"/>
      <c r="S20" s="27"/>
      <c r="T20" s="27"/>
      <c r="U20" s="27"/>
      <c r="V20" s="27"/>
      <c r="W20" s="27"/>
      <c r="X20" s="27"/>
    </row>
    <row r="21" spans="1:24" ht="28.2" customHeight="1" x14ac:dyDescent="0.3">
      <c r="A21" s="12">
        <v>19</v>
      </c>
      <c r="B21" s="13" t="s">
        <v>7</v>
      </c>
      <c r="C21" s="13" t="s">
        <v>6</v>
      </c>
      <c r="D21" s="141">
        <v>82</v>
      </c>
      <c r="E21" s="13">
        <v>1</v>
      </c>
      <c r="F21" s="31" t="s">
        <v>9</v>
      </c>
      <c r="G21" s="42">
        <v>288</v>
      </c>
      <c r="H21" s="13">
        <v>292</v>
      </c>
      <c r="I21" s="31">
        <v>267</v>
      </c>
      <c r="J21" s="56">
        <f t="shared" si="1"/>
        <v>8.5616438356164384</v>
      </c>
      <c r="K21" s="16"/>
      <c r="L21" s="19"/>
      <c r="N21" s="144">
        <v>503</v>
      </c>
      <c r="O21" s="28">
        <v>151</v>
      </c>
      <c r="P21" s="28" t="s">
        <v>29</v>
      </c>
      <c r="Q21" s="143" t="s">
        <v>5</v>
      </c>
      <c r="R21" s="147" t="s">
        <v>7</v>
      </c>
      <c r="S21" s="27">
        <f t="shared" ref="S21" si="8">AVERAGE(O21:O22)</f>
        <v>157.5</v>
      </c>
      <c r="T21" s="27"/>
      <c r="U21" s="27"/>
      <c r="V21" s="27"/>
      <c r="W21" s="27"/>
      <c r="X21" s="27"/>
    </row>
    <row r="22" spans="1:24" ht="28.2" customHeight="1" thickBot="1" x14ac:dyDescent="0.35">
      <c r="A22" s="8">
        <v>20</v>
      </c>
      <c r="B22" s="14" t="s">
        <v>7</v>
      </c>
      <c r="C22" s="14" t="s">
        <v>6</v>
      </c>
      <c r="D22" s="146"/>
      <c r="E22" s="14">
        <v>1</v>
      </c>
      <c r="F22" s="32" t="s">
        <v>9</v>
      </c>
      <c r="G22" s="43">
        <v>286</v>
      </c>
      <c r="H22" s="14">
        <v>287</v>
      </c>
      <c r="I22" s="32">
        <v>266</v>
      </c>
      <c r="J22" s="57">
        <f t="shared" si="1"/>
        <v>7.3170731707317076</v>
      </c>
      <c r="K22" s="17"/>
      <c r="L22" s="20"/>
      <c r="N22" s="149"/>
      <c r="O22" s="29">
        <v>164</v>
      </c>
      <c r="P22" s="29" t="s">
        <v>30</v>
      </c>
      <c r="Q22" s="150"/>
      <c r="R22" s="148"/>
      <c r="S22" s="27"/>
    </row>
  </sheetData>
  <mergeCells count="40">
    <mergeCell ref="D21:D22"/>
    <mergeCell ref="R17:R18"/>
    <mergeCell ref="R19:R20"/>
    <mergeCell ref="R21:R22"/>
    <mergeCell ref="N21:N22"/>
    <mergeCell ref="Q21:Q22"/>
    <mergeCell ref="D3:D4"/>
    <mergeCell ref="D5:D6"/>
    <mergeCell ref="D7:D8"/>
    <mergeCell ref="D9:D10"/>
    <mergeCell ref="D11:D12"/>
    <mergeCell ref="D13:D14"/>
    <mergeCell ref="D15:D16"/>
    <mergeCell ref="Q17:Q18"/>
    <mergeCell ref="Q19:Q20"/>
    <mergeCell ref="N17:N18"/>
    <mergeCell ref="N19:N20"/>
    <mergeCell ref="N15:N16"/>
    <mergeCell ref="Q15:Q16"/>
    <mergeCell ref="D17:D18"/>
    <mergeCell ref="D19:D20"/>
    <mergeCell ref="R3:R4"/>
    <mergeCell ref="R7:R8"/>
    <mergeCell ref="R11:R12"/>
    <mergeCell ref="Q13:Q14"/>
    <mergeCell ref="N13:N14"/>
    <mergeCell ref="R13:R14"/>
    <mergeCell ref="N3:N4"/>
    <mergeCell ref="Q3:Q4"/>
    <mergeCell ref="R15:R16"/>
    <mergeCell ref="R5:R6"/>
    <mergeCell ref="N9:N10"/>
    <mergeCell ref="Q9:Q10"/>
    <mergeCell ref="Q11:Q12"/>
    <mergeCell ref="N11:N12"/>
    <mergeCell ref="R9:R10"/>
    <mergeCell ref="Q5:Q6"/>
    <mergeCell ref="Q7:Q8"/>
    <mergeCell ref="N5:N6"/>
    <mergeCell ref="N7:N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103A7-8D79-4432-B70C-D16D0399C36D}">
  <sheetPr>
    <pageSetUpPr fitToPage="1"/>
  </sheetPr>
  <dimension ref="A1:K23"/>
  <sheetViews>
    <sheetView zoomScale="90" zoomScaleNormal="90" workbookViewId="0">
      <selection activeCell="K12" sqref="K12"/>
    </sheetView>
  </sheetViews>
  <sheetFormatPr defaultRowHeight="14.4" x14ac:dyDescent="0.3"/>
  <cols>
    <col min="4" max="4" width="10.33203125" customWidth="1"/>
    <col min="5" max="6" width="13.88671875" customWidth="1"/>
    <col min="7" max="7" width="14.33203125" customWidth="1"/>
    <col min="8" max="8" width="15.88671875" customWidth="1"/>
    <col min="9" max="10" width="13.88671875" customWidth="1"/>
    <col min="11" max="11" width="56.6640625" customWidth="1"/>
  </cols>
  <sheetData>
    <row r="1" spans="1:11" ht="37.200000000000003" customHeight="1" thickBot="1" x14ac:dyDescent="0.4">
      <c r="A1" s="24" t="s">
        <v>28</v>
      </c>
    </row>
    <row r="2" spans="1:11" ht="29.4" customHeight="1" thickBot="1" x14ac:dyDescent="0.35">
      <c r="A2" s="38" t="s">
        <v>0</v>
      </c>
      <c r="B2" s="39" t="s">
        <v>1</v>
      </c>
      <c r="C2" s="39" t="s">
        <v>2</v>
      </c>
      <c r="D2" s="39" t="s">
        <v>11</v>
      </c>
      <c r="E2" s="40" t="s">
        <v>3</v>
      </c>
      <c r="F2" s="40" t="s">
        <v>35</v>
      </c>
      <c r="G2" s="40" t="s">
        <v>31</v>
      </c>
      <c r="H2" s="6" t="s">
        <v>32</v>
      </c>
      <c r="I2" s="7" t="s">
        <v>33</v>
      </c>
      <c r="J2" s="22" t="s">
        <v>34</v>
      </c>
      <c r="K2" s="21" t="s">
        <v>4</v>
      </c>
    </row>
    <row r="3" spans="1:11" ht="28.2" customHeight="1" x14ac:dyDescent="0.3">
      <c r="A3" s="5">
        <v>1</v>
      </c>
      <c r="B3" s="11" t="s">
        <v>8</v>
      </c>
      <c r="C3" s="11" t="s">
        <v>5</v>
      </c>
      <c r="D3" s="11">
        <v>1</v>
      </c>
      <c r="E3" s="11" t="s">
        <v>9</v>
      </c>
      <c r="F3" s="134">
        <v>499</v>
      </c>
      <c r="G3" s="2" t="s">
        <v>29</v>
      </c>
      <c r="H3" s="41">
        <v>137</v>
      </c>
      <c r="I3" s="11">
        <v>142</v>
      </c>
      <c r="J3" s="2">
        <v>132</v>
      </c>
      <c r="K3" s="18"/>
    </row>
    <row r="4" spans="1:11" ht="28.2" customHeight="1" x14ac:dyDescent="0.3">
      <c r="A4" s="12">
        <v>2</v>
      </c>
      <c r="B4" s="13" t="s">
        <v>8</v>
      </c>
      <c r="C4" s="13" t="s">
        <v>5</v>
      </c>
      <c r="D4" s="13">
        <v>1</v>
      </c>
      <c r="E4" s="13" t="s">
        <v>9</v>
      </c>
      <c r="F4" s="135"/>
      <c r="G4" s="3" t="s">
        <v>30</v>
      </c>
      <c r="H4" s="4">
        <v>159</v>
      </c>
      <c r="I4" s="13">
        <v>165</v>
      </c>
      <c r="J4" s="3">
        <v>157</v>
      </c>
      <c r="K4" s="19"/>
    </row>
    <row r="5" spans="1:11" ht="28.2" customHeight="1" x14ac:dyDescent="0.3">
      <c r="A5" s="12">
        <v>3</v>
      </c>
      <c r="B5" s="13" t="s">
        <v>7</v>
      </c>
      <c r="C5" s="13" t="s">
        <v>6</v>
      </c>
      <c r="D5" s="13">
        <v>1</v>
      </c>
      <c r="E5" s="13" t="s">
        <v>9</v>
      </c>
      <c r="F5" s="129">
        <v>78</v>
      </c>
      <c r="G5" s="3" t="s">
        <v>29</v>
      </c>
      <c r="H5" s="4">
        <v>328</v>
      </c>
      <c r="I5" s="13">
        <v>320</v>
      </c>
      <c r="J5" s="3">
        <v>304</v>
      </c>
      <c r="K5" s="19"/>
    </row>
    <row r="6" spans="1:11" ht="28.2" customHeight="1" x14ac:dyDescent="0.3">
      <c r="A6" s="12">
        <v>4</v>
      </c>
      <c r="B6" s="13" t="s">
        <v>7</v>
      </c>
      <c r="C6" s="13" t="s">
        <v>6</v>
      </c>
      <c r="D6" s="13">
        <v>1</v>
      </c>
      <c r="E6" s="13" t="s">
        <v>9</v>
      </c>
      <c r="F6" s="129"/>
      <c r="G6" s="3" t="s">
        <v>30</v>
      </c>
      <c r="H6" s="4">
        <v>294</v>
      </c>
      <c r="I6" s="13">
        <v>290</v>
      </c>
      <c r="J6" s="3">
        <v>276</v>
      </c>
      <c r="K6" s="19"/>
    </row>
    <row r="7" spans="1:11" ht="28.2" customHeight="1" x14ac:dyDescent="0.3">
      <c r="A7" s="12">
        <v>5</v>
      </c>
      <c r="B7" s="13" t="s">
        <v>10</v>
      </c>
      <c r="C7" s="13" t="s">
        <v>6</v>
      </c>
      <c r="D7" s="13">
        <v>1</v>
      </c>
      <c r="E7" s="13" t="s">
        <v>9</v>
      </c>
      <c r="F7" s="129">
        <v>79</v>
      </c>
      <c r="G7" s="3" t="s">
        <v>29</v>
      </c>
      <c r="H7" s="4">
        <v>280</v>
      </c>
      <c r="I7" s="13">
        <v>275</v>
      </c>
      <c r="J7" s="3">
        <v>261</v>
      </c>
      <c r="K7" s="19"/>
    </row>
    <row r="8" spans="1:11" ht="28.2" customHeight="1" x14ac:dyDescent="0.3">
      <c r="A8" s="12">
        <v>6</v>
      </c>
      <c r="B8" s="13" t="s">
        <v>8</v>
      </c>
      <c r="C8" s="13" t="s">
        <v>6</v>
      </c>
      <c r="D8" s="13">
        <v>1</v>
      </c>
      <c r="E8" s="13" t="s">
        <v>9</v>
      </c>
      <c r="F8" s="129"/>
      <c r="G8" s="3" t="s">
        <v>30</v>
      </c>
      <c r="H8" s="4">
        <v>268</v>
      </c>
      <c r="I8" s="13">
        <v>267</v>
      </c>
      <c r="J8" s="3">
        <v>246</v>
      </c>
      <c r="K8" s="19"/>
    </row>
    <row r="9" spans="1:11" ht="28.2" customHeight="1" x14ac:dyDescent="0.3">
      <c r="A9" s="12">
        <v>7</v>
      </c>
      <c r="B9" s="13" t="s">
        <v>7</v>
      </c>
      <c r="C9" s="13" t="s">
        <v>5</v>
      </c>
      <c r="D9" s="13">
        <v>1</v>
      </c>
      <c r="E9" s="13" t="s">
        <v>9</v>
      </c>
      <c r="F9" s="135">
        <v>500</v>
      </c>
      <c r="G9" s="3" t="s">
        <v>29</v>
      </c>
      <c r="H9" s="4">
        <v>147</v>
      </c>
      <c r="I9" s="13">
        <v>153</v>
      </c>
      <c r="J9" s="3">
        <v>136</v>
      </c>
      <c r="K9" s="19"/>
    </row>
    <row r="10" spans="1:11" ht="28.2" customHeight="1" x14ac:dyDescent="0.3">
      <c r="A10" s="12">
        <v>8</v>
      </c>
      <c r="B10" s="13" t="s">
        <v>7</v>
      </c>
      <c r="C10" s="13" t="s">
        <v>5</v>
      </c>
      <c r="D10" s="13">
        <v>1</v>
      </c>
      <c r="E10" s="13" t="s">
        <v>9</v>
      </c>
      <c r="F10" s="135"/>
      <c r="G10" s="3" t="s">
        <v>30</v>
      </c>
      <c r="H10" s="4">
        <v>139</v>
      </c>
      <c r="I10" s="13">
        <v>150</v>
      </c>
      <c r="J10" s="3">
        <v>140</v>
      </c>
      <c r="K10" s="19"/>
    </row>
    <row r="11" spans="1:11" ht="28.2" customHeight="1" x14ac:dyDescent="0.3">
      <c r="A11" s="12">
        <v>9</v>
      </c>
      <c r="B11" s="13" t="s">
        <v>8</v>
      </c>
      <c r="C11" s="13" t="s">
        <v>5</v>
      </c>
      <c r="D11" s="13">
        <v>1</v>
      </c>
      <c r="E11" s="13" t="s">
        <v>9</v>
      </c>
      <c r="F11" s="135">
        <v>501</v>
      </c>
      <c r="G11" s="3" t="s">
        <v>29</v>
      </c>
      <c r="H11" s="4">
        <v>173</v>
      </c>
      <c r="I11" s="13">
        <v>180</v>
      </c>
      <c r="J11" s="3">
        <v>163</v>
      </c>
      <c r="K11" s="19"/>
    </row>
    <row r="12" spans="1:11" ht="28.2" customHeight="1" x14ac:dyDescent="0.3">
      <c r="A12" s="12">
        <v>10</v>
      </c>
      <c r="B12" s="13" t="s">
        <v>8</v>
      </c>
      <c r="C12" s="13" t="s">
        <v>5</v>
      </c>
      <c r="D12" s="13">
        <v>1</v>
      </c>
      <c r="E12" s="13" t="s">
        <v>9</v>
      </c>
      <c r="F12" s="135"/>
      <c r="G12" s="3" t="s">
        <v>30</v>
      </c>
      <c r="H12" s="4">
        <v>169</v>
      </c>
      <c r="I12" s="13">
        <v>178</v>
      </c>
      <c r="J12" s="3">
        <v>163</v>
      </c>
      <c r="K12" s="19"/>
    </row>
    <row r="13" spans="1:11" ht="28.2" customHeight="1" x14ac:dyDescent="0.3">
      <c r="A13" s="12">
        <v>11</v>
      </c>
      <c r="B13" s="13" t="s">
        <v>7</v>
      </c>
      <c r="C13" s="13" t="s">
        <v>6</v>
      </c>
      <c r="D13" s="13">
        <v>1</v>
      </c>
      <c r="E13" s="13" t="s">
        <v>9</v>
      </c>
      <c r="F13" s="129">
        <v>81</v>
      </c>
      <c r="G13" s="3" t="s">
        <v>29</v>
      </c>
      <c r="H13" s="4">
        <v>274</v>
      </c>
      <c r="I13" s="13">
        <v>278</v>
      </c>
      <c r="J13" s="3">
        <v>255</v>
      </c>
      <c r="K13" s="19"/>
    </row>
    <row r="14" spans="1:11" ht="28.2" customHeight="1" x14ac:dyDescent="0.3">
      <c r="A14" s="12">
        <v>12</v>
      </c>
      <c r="B14" s="13" t="s">
        <v>7</v>
      </c>
      <c r="C14" s="13" t="s">
        <v>6</v>
      </c>
      <c r="D14" s="13">
        <v>1</v>
      </c>
      <c r="E14" s="13" t="s">
        <v>9</v>
      </c>
      <c r="F14" s="129"/>
      <c r="G14" s="3" t="s">
        <v>30</v>
      </c>
      <c r="H14" s="4">
        <v>307</v>
      </c>
      <c r="I14" s="13">
        <v>310</v>
      </c>
      <c r="J14" s="3">
        <v>291</v>
      </c>
      <c r="K14" s="19"/>
    </row>
    <row r="15" spans="1:11" ht="28.2" customHeight="1" x14ac:dyDescent="0.3">
      <c r="A15" s="12">
        <v>13</v>
      </c>
      <c r="B15" s="13" t="s">
        <v>10</v>
      </c>
      <c r="C15" s="13" t="s">
        <v>6</v>
      </c>
      <c r="D15" s="13">
        <v>1</v>
      </c>
      <c r="E15" s="13" t="s">
        <v>9</v>
      </c>
      <c r="F15" s="129">
        <v>80</v>
      </c>
      <c r="G15" s="3" t="s">
        <v>29</v>
      </c>
      <c r="H15" s="4">
        <v>342</v>
      </c>
      <c r="I15" s="13">
        <v>337</v>
      </c>
      <c r="J15" s="3">
        <v>316</v>
      </c>
      <c r="K15" s="19"/>
    </row>
    <row r="16" spans="1:11" ht="28.2" customHeight="1" x14ac:dyDescent="0.3">
      <c r="A16" s="12">
        <v>14</v>
      </c>
      <c r="B16" s="13" t="s">
        <v>8</v>
      </c>
      <c r="C16" s="13" t="s">
        <v>6</v>
      </c>
      <c r="D16" s="13">
        <v>1</v>
      </c>
      <c r="E16" s="13" t="s">
        <v>9</v>
      </c>
      <c r="F16" s="129"/>
      <c r="G16" s="3" t="s">
        <v>30</v>
      </c>
      <c r="H16" s="4">
        <v>281</v>
      </c>
      <c r="I16" s="13">
        <v>281</v>
      </c>
      <c r="J16" s="3">
        <v>255</v>
      </c>
      <c r="K16" s="19"/>
    </row>
    <row r="17" spans="1:11" ht="28.2" customHeight="1" x14ac:dyDescent="0.3">
      <c r="A17" s="12">
        <v>15</v>
      </c>
      <c r="B17" s="13" t="s">
        <v>7</v>
      </c>
      <c r="C17" s="13" t="s">
        <v>5</v>
      </c>
      <c r="D17" s="13">
        <v>1</v>
      </c>
      <c r="E17" s="13" t="s">
        <v>9</v>
      </c>
      <c r="F17" s="135">
        <v>502</v>
      </c>
      <c r="G17" s="3" t="s">
        <v>29</v>
      </c>
      <c r="H17" s="4">
        <v>142</v>
      </c>
      <c r="I17" s="13">
        <v>146</v>
      </c>
      <c r="J17" s="3">
        <v>127</v>
      </c>
      <c r="K17" s="19"/>
    </row>
    <row r="18" spans="1:11" ht="28.2" customHeight="1" x14ac:dyDescent="0.3">
      <c r="A18" s="12">
        <v>16</v>
      </c>
      <c r="B18" s="13" t="s">
        <v>7</v>
      </c>
      <c r="C18" s="13" t="s">
        <v>5</v>
      </c>
      <c r="D18" s="13">
        <v>1</v>
      </c>
      <c r="E18" s="13" t="s">
        <v>9</v>
      </c>
      <c r="F18" s="135"/>
      <c r="G18" s="3" t="s">
        <v>30</v>
      </c>
      <c r="H18" s="4">
        <v>161</v>
      </c>
      <c r="I18" s="13">
        <v>168</v>
      </c>
      <c r="J18" s="3">
        <v>161</v>
      </c>
      <c r="K18" s="19"/>
    </row>
    <row r="19" spans="1:11" ht="28.2" customHeight="1" x14ac:dyDescent="0.3">
      <c r="A19" s="12">
        <v>17</v>
      </c>
      <c r="B19" s="13" t="s">
        <v>8</v>
      </c>
      <c r="C19" s="13" t="s">
        <v>5</v>
      </c>
      <c r="D19" s="13">
        <v>1</v>
      </c>
      <c r="E19" s="13" t="s">
        <v>9</v>
      </c>
      <c r="F19" s="135">
        <v>503</v>
      </c>
      <c r="G19" s="3" t="s">
        <v>29</v>
      </c>
      <c r="H19" s="4">
        <v>151</v>
      </c>
      <c r="I19" s="13">
        <v>157</v>
      </c>
      <c r="J19" s="3">
        <v>144</v>
      </c>
      <c r="K19" s="19"/>
    </row>
    <row r="20" spans="1:11" ht="28.2" customHeight="1" x14ac:dyDescent="0.3">
      <c r="A20" s="12">
        <v>18</v>
      </c>
      <c r="B20" s="13" t="s">
        <v>8</v>
      </c>
      <c r="C20" s="13" t="s">
        <v>5</v>
      </c>
      <c r="D20" s="13">
        <v>1</v>
      </c>
      <c r="E20" s="13" t="s">
        <v>9</v>
      </c>
      <c r="F20" s="135"/>
      <c r="G20" s="3" t="s">
        <v>30</v>
      </c>
      <c r="H20" s="4">
        <v>164</v>
      </c>
      <c r="I20" s="13">
        <v>171</v>
      </c>
      <c r="J20" s="3">
        <v>156</v>
      </c>
      <c r="K20" s="19"/>
    </row>
    <row r="21" spans="1:11" ht="28.2" customHeight="1" x14ac:dyDescent="0.3">
      <c r="A21" s="12">
        <v>19</v>
      </c>
      <c r="B21" s="13" t="s">
        <v>7</v>
      </c>
      <c r="C21" s="13" t="s">
        <v>6</v>
      </c>
      <c r="D21" s="13">
        <v>1</v>
      </c>
      <c r="E21" s="13" t="s">
        <v>9</v>
      </c>
      <c r="F21" s="129">
        <v>82</v>
      </c>
      <c r="G21" s="3" t="s">
        <v>29</v>
      </c>
      <c r="H21" s="4">
        <v>288</v>
      </c>
      <c r="I21" s="13">
        <v>292</v>
      </c>
      <c r="J21" s="3">
        <v>267</v>
      </c>
      <c r="K21" s="19"/>
    </row>
    <row r="22" spans="1:11" ht="28.2" customHeight="1" thickBot="1" x14ac:dyDescent="0.35">
      <c r="A22" s="8">
        <v>20</v>
      </c>
      <c r="B22" s="14" t="s">
        <v>7</v>
      </c>
      <c r="C22" s="14" t="s">
        <v>6</v>
      </c>
      <c r="D22" s="14">
        <v>1</v>
      </c>
      <c r="E22" s="14" t="s">
        <v>9</v>
      </c>
      <c r="F22" s="151"/>
      <c r="G22" s="9" t="s">
        <v>30</v>
      </c>
      <c r="H22" s="10">
        <v>286</v>
      </c>
      <c r="I22" s="14">
        <v>287</v>
      </c>
      <c r="J22" s="9">
        <v>266</v>
      </c>
      <c r="K22" s="20"/>
    </row>
    <row r="23" spans="1:11" ht="23.4" x14ac:dyDescent="0.45">
      <c r="A23" s="26"/>
      <c r="B23" s="26"/>
      <c r="C23" s="26"/>
      <c r="D23" s="26"/>
    </row>
  </sheetData>
  <mergeCells count="10">
    <mergeCell ref="F15:F16"/>
    <mergeCell ref="F17:F18"/>
    <mergeCell ref="F19:F20"/>
    <mergeCell ref="F21:F22"/>
    <mergeCell ref="F3:F4"/>
    <mergeCell ref="F5:F6"/>
    <mergeCell ref="F7:F8"/>
    <mergeCell ref="F9:F10"/>
    <mergeCell ref="F11:F12"/>
    <mergeCell ref="F13:F14"/>
  </mergeCells>
  <pageMargins left="0.25" right="0.25" top="0.75" bottom="0.75" header="0.3" footer="0.3"/>
  <pageSetup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C41F-27EF-4684-AC8C-F290DF847DFE}">
  <dimension ref="A1:N26"/>
  <sheetViews>
    <sheetView zoomScale="71" zoomScaleNormal="90" workbookViewId="0">
      <selection activeCell="A2" sqref="A2:N12"/>
    </sheetView>
  </sheetViews>
  <sheetFormatPr defaultRowHeight="14.4" x14ac:dyDescent="0.3"/>
  <cols>
    <col min="4" max="4" width="10.33203125" customWidth="1"/>
    <col min="5" max="5" width="14.33203125" customWidth="1"/>
    <col min="6" max="11" width="17" customWidth="1"/>
    <col min="12" max="13" width="12.109375" customWidth="1"/>
    <col min="14" max="14" width="56.6640625" customWidth="1"/>
  </cols>
  <sheetData>
    <row r="1" spans="1:14" ht="40.200000000000003" customHeight="1" thickBot="1" x14ac:dyDescent="0.4">
      <c r="A1" s="24" t="s">
        <v>27</v>
      </c>
    </row>
    <row r="2" spans="1:14" ht="29.4" customHeight="1" thickBot="1" x14ac:dyDescent="0.35">
      <c r="A2" s="6" t="s">
        <v>0</v>
      </c>
      <c r="B2" s="7" t="s">
        <v>1</v>
      </c>
      <c r="C2" s="7" t="s">
        <v>2</v>
      </c>
      <c r="D2" s="7" t="s">
        <v>11</v>
      </c>
      <c r="E2" s="22" t="s">
        <v>3</v>
      </c>
      <c r="F2" s="23" t="s">
        <v>40</v>
      </c>
      <c r="G2" s="7" t="s">
        <v>39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14</v>
      </c>
      <c r="M2" s="7" t="s">
        <v>15</v>
      </c>
      <c r="N2" s="21" t="s">
        <v>4</v>
      </c>
    </row>
    <row r="3" spans="1:14" ht="40.200000000000003" customHeight="1" x14ac:dyDescent="0.3">
      <c r="A3" s="12">
        <v>3</v>
      </c>
      <c r="B3" s="13" t="s">
        <v>7</v>
      </c>
      <c r="C3" s="13" t="s">
        <v>6</v>
      </c>
      <c r="D3" s="13">
        <v>1</v>
      </c>
      <c r="E3" s="3" t="s">
        <v>9</v>
      </c>
      <c r="F3" s="5">
        <v>0</v>
      </c>
      <c r="G3" s="11">
        <v>1</v>
      </c>
      <c r="H3" s="11">
        <v>3</v>
      </c>
      <c r="I3" s="11">
        <v>4</v>
      </c>
      <c r="J3" s="11">
        <v>3</v>
      </c>
      <c r="K3" s="2">
        <v>4</v>
      </c>
      <c r="L3" s="44">
        <f>AVERAGE(G3:H3)</f>
        <v>2</v>
      </c>
      <c r="M3" s="45">
        <f>AVERAGE(I3:K3)</f>
        <v>3.6666666666666665</v>
      </c>
      <c r="N3" s="19"/>
    </row>
    <row r="4" spans="1:14" ht="40.200000000000003" customHeight="1" x14ac:dyDescent="0.3">
      <c r="A4" s="12">
        <v>4</v>
      </c>
      <c r="B4" s="13" t="s">
        <v>7</v>
      </c>
      <c r="C4" s="13" t="s">
        <v>6</v>
      </c>
      <c r="D4" s="13">
        <v>1</v>
      </c>
      <c r="E4" s="3" t="s">
        <v>9</v>
      </c>
      <c r="F4" s="12">
        <v>0</v>
      </c>
      <c r="G4" s="13">
        <v>1</v>
      </c>
      <c r="H4" s="13">
        <v>2</v>
      </c>
      <c r="I4" s="13">
        <v>3</v>
      </c>
      <c r="J4" s="13">
        <v>3</v>
      </c>
      <c r="K4" s="3">
        <v>3</v>
      </c>
      <c r="L4" s="46">
        <f t="shared" ref="L4:L12" si="0">AVERAGE(G4:H4)</f>
        <v>1.5</v>
      </c>
      <c r="M4" s="47">
        <f t="shared" ref="M4:M12" si="1">AVERAGE(I4:K4)</f>
        <v>3</v>
      </c>
      <c r="N4" s="19"/>
    </row>
    <row r="5" spans="1:14" ht="40.200000000000003" customHeight="1" x14ac:dyDescent="0.3">
      <c r="A5" s="12">
        <v>7</v>
      </c>
      <c r="B5" s="13" t="s">
        <v>7</v>
      </c>
      <c r="C5" s="13" t="s">
        <v>5</v>
      </c>
      <c r="D5" s="13">
        <v>1</v>
      </c>
      <c r="E5" s="3" t="s">
        <v>9</v>
      </c>
      <c r="F5" s="12">
        <v>0</v>
      </c>
      <c r="G5" s="13">
        <v>0</v>
      </c>
      <c r="H5" s="13">
        <v>4</v>
      </c>
      <c r="I5" s="13">
        <v>3</v>
      </c>
      <c r="J5" s="13">
        <v>3</v>
      </c>
      <c r="K5" s="3">
        <v>3</v>
      </c>
      <c r="L5" s="46">
        <f t="shared" si="0"/>
        <v>2</v>
      </c>
      <c r="M5" s="47">
        <f t="shared" si="1"/>
        <v>3</v>
      </c>
      <c r="N5" s="19"/>
    </row>
    <row r="6" spans="1:14" ht="40.200000000000003" customHeight="1" x14ac:dyDescent="0.3">
      <c r="A6" s="12">
        <v>8</v>
      </c>
      <c r="B6" s="13" t="s">
        <v>7</v>
      </c>
      <c r="C6" s="13" t="s">
        <v>5</v>
      </c>
      <c r="D6" s="13">
        <v>1</v>
      </c>
      <c r="E6" s="3" t="s">
        <v>9</v>
      </c>
      <c r="F6" s="12">
        <v>0</v>
      </c>
      <c r="G6" s="13">
        <v>0</v>
      </c>
      <c r="H6" s="13">
        <v>3</v>
      </c>
      <c r="I6" s="13">
        <v>2</v>
      </c>
      <c r="J6" s="13">
        <v>2</v>
      </c>
      <c r="K6" s="3">
        <v>2</v>
      </c>
      <c r="L6" s="46">
        <f t="shared" si="0"/>
        <v>1.5</v>
      </c>
      <c r="M6" s="47">
        <f t="shared" si="1"/>
        <v>2</v>
      </c>
      <c r="N6" s="19"/>
    </row>
    <row r="7" spans="1:14" ht="40.200000000000003" customHeight="1" x14ac:dyDescent="0.3">
      <c r="A7" s="12">
        <v>11</v>
      </c>
      <c r="B7" s="13" t="s">
        <v>7</v>
      </c>
      <c r="C7" s="13" t="s">
        <v>6</v>
      </c>
      <c r="D7" s="13">
        <v>1</v>
      </c>
      <c r="E7" s="3" t="s">
        <v>9</v>
      </c>
      <c r="F7" s="12">
        <v>0</v>
      </c>
      <c r="G7" s="13">
        <v>1</v>
      </c>
      <c r="H7" s="13">
        <v>3</v>
      </c>
      <c r="I7" s="13">
        <v>2</v>
      </c>
      <c r="J7" s="13">
        <v>3</v>
      </c>
      <c r="K7" s="3">
        <v>2</v>
      </c>
      <c r="L7" s="46">
        <f t="shared" si="0"/>
        <v>2</v>
      </c>
      <c r="M7" s="47">
        <f t="shared" si="1"/>
        <v>2.3333333333333335</v>
      </c>
      <c r="N7" s="19"/>
    </row>
    <row r="8" spans="1:14" ht="40.200000000000003" customHeight="1" x14ac:dyDescent="0.3">
      <c r="A8" s="12">
        <v>12</v>
      </c>
      <c r="B8" s="13" t="s">
        <v>7</v>
      </c>
      <c r="C8" s="13" t="s">
        <v>6</v>
      </c>
      <c r="D8" s="13">
        <v>1</v>
      </c>
      <c r="E8" s="3" t="s">
        <v>9</v>
      </c>
      <c r="F8" s="12">
        <v>0</v>
      </c>
      <c r="G8" s="13">
        <v>0</v>
      </c>
      <c r="H8" s="13">
        <v>4</v>
      </c>
      <c r="I8" s="13">
        <v>3</v>
      </c>
      <c r="J8" s="13">
        <v>3</v>
      </c>
      <c r="K8" s="3">
        <v>3</v>
      </c>
      <c r="L8" s="46">
        <f t="shared" si="0"/>
        <v>2</v>
      </c>
      <c r="M8" s="47">
        <f t="shared" si="1"/>
        <v>3</v>
      </c>
      <c r="N8" s="19"/>
    </row>
    <row r="9" spans="1:14" ht="40.200000000000003" customHeight="1" x14ac:dyDescent="0.3">
      <c r="A9" s="12">
        <v>15</v>
      </c>
      <c r="B9" s="13" t="s">
        <v>7</v>
      </c>
      <c r="C9" s="13" t="s">
        <v>5</v>
      </c>
      <c r="D9" s="13">
        <v>1</v>
      </c>
      <c r="E9" s="3" t="s">
        <v>9</v>
      </c>
      <c r="F9" s="12">
        <v>0</v>
      </c>
      <c r="G9" s="13">
        <v>1</v>
      </c>
      <c r="H9" s="13">
        <v>1</v>
      </c>
      <c r="I9" s="13">
        <v>3</v>
      </c>
      <c r="J9" s="13">
        <v>3</v>
      </c>
      <c r="K9" s="3">
        <v>3</v>
      </c>
      <c r="L9" s="46">
        <f t="shared" si="0"/>
        <v>1</v>
      </c>
      <c r="M9" s="47">
        <f t="shared" si="1"/>
        <v>3</v>
      </c>
      <c r="N9" s="19"/>
    </row>
    <row r="10" spans="1:14" ht="40.200000000000003" customHeight="1" x14ac:dyDescent="0.3">
      <c r="A10" s="12">
        <v>16</v>
      </c>
      <c r="B10" s="13" t="s">
        <v>7</v>
      </c>
      <c r="C10" s="13" t="s">
        <v>5</v>
      </c>
      <c r="D10" s="13">
        <v>1</v>
      </c>
      <c r="E10" s="3" t="s">
        <v>9</v>
      </c>
      <c r="F10" s="12">
        <v>0</v>
      </c>
      <c r="G10" s="13">
        <v>0</v>
      </c>
      <c r="H10" s="13">
        <v>3</v>
      </c>
      <c r="I10" s="13">
        <v>3</v>
      </c>
      <c r="J10" s="13">
        <v>2</v>
      </c>
      <c r="K10" s="3">
        <v>2</v>
      </c>
      <c r="L10" s="46">
        <f t="shared" si="0"/>
        <v>1.5</v>
      </c>
      <c r="M10" s="47">
        <f t="shared" si="1"/>
        <v>2.3333333333333335</v>
      </c>
      <c r="N10" s="19"/>
    </row>
    <row r="11" spans="1:14" ht="45" customHeight="1" x14ac:dyDescent="0.3">
      <c r="A11" s="12">
        <v>19</v>
      </c>
      <c r="B11" s="13" t="s">
        <v>7</v>
      </c>
      <c r="C11" s="13" t="s">
        <v>6</v>
      </c>
      <c r="D11" s="13">
        <v>1</v>
      </c>
      <c r="E11" s="3" t="s">
        <v>9</v>
      </c>
      <c r="F11" s="12">
        <v>0</v>
      </c>
      <c r="G11" s="13">
        <v>3</v>
      </c>
      <c r="H11" s="13">
        <v>3</v>
      </c>
      <c r="I11" s="13">
        <v>3</v>
      </c>
      <c r="J11" s="13">
        <v>2</v>
      </c>
      <c r="K11" s="3">
        <v>3</v>
      </c>
      <c r="L11" s="46">
        <f t="shared" si="0"/>
        <v>3</v>
      </c>
      <c r="M11" s="47">
        <f t="shared" si="1"/>
        <v>2.6666666666666665</v>
      </c>
      <c r="N11" s="19"/>
    </row>
    <row r="12" spans="1:14" ht="40.200000000000003" customHeight="1" thickBot="1" x14ac:dyDescent="0.35">
      <c r="A12" s="8">
        <v>20</v>
      </c>
      <c r="B12" s="14" t="s">
        <v>7</v>
      </c>
      <c r="C12" s="14" t="s">
        <v>6</v>
      </c>
      <c r="D12" s="14">
        <v>1</v>
      </c>
      <c r="E12" s="9" t="s">
        <v>9</v>
      </c>
      <c r="F12" s="8">
        <v>0</v>
      </c>
      <c r="G12" s="14">
        <v>2</v>
      </c>
      <c r="H12" s="14">
        <v>2</v>
      </c>
      <c r="I12" s="14">
        <v>3</v>
      </c>
      <c r="J12" s="14">
        <v>3</v>
      </c>
      <c r="K12" s="9">
        <v>2</v>
      </c>
      <c r="L12" s="48">
        <f t="shared" si="0"/>
        <v>2</v>
      </c>
      <c r="M12" s="49">
        <f t="shared" si="1"/>
        <v>2.6666666666666665</v>
      </c>
      <c r="N12" s="20"/>
    </row>
    <row r="15" spans="1:14" ht="15" thickBot="1" x14ac:dyDescent="0.35">
      <c r="A15" s="104" t="s">
        <v>47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</row>
    <row r="16" spans="1:14" ht="15" thickBot="1" x14ac:dyDescent="0.35">
      <c r="A16" s="89" t="s">
        <v>0</v>
      </c>
      <c r="B16" s="90" t="s">
        <v>1</v>
      </c>
      <c r="C16" s="90" t="s">
        <v>2</v>
      </c>
      <c r="D16" s="90" t="s">
        <v>11</v>
      </c>
      <c r="E16" s="90" t="s">
        <v>3</v>
      </c>
      <c r="F16" s="90" t="s">
        <v>40</v>
      </c>
      <c r="G16" s="90" t="s">
        <v>39</v>
      </c>
      <c r="H16" s="90" t="s">
        <v>41</v>
      </c>
      <c r="I16" s="90" t="s">
        <v>42</v>
      </c>
      <c r="J16" s="90" t="s">
        <v>43</v>
      </c>
      <c r="K16" s="90" t="s">
        <v>44</v>
      </c>
      <c r="L16" s="90" t="s">
        <v>14</v>
      </c>
      <c r="M16" s="90" t="s">
        <v>15</v>
      </c>
      <c r="N16" s="91" t="s">
        <v>4</v>
      </c>
    </row>
    <row r="17" spans="1:14" x14ac:dyDescent="0.3">
      <c r="A17" s="78">
        <v>7</v>
      </c>
      <c r="B17" s="79" t="s">
        <v>7</v>
      </c>
      <c r="C17" s="79" t="s">
        <v>5</v>
      </c>
      <c r="D17" s="79">
        <v>1</v>
      </c>
      <c r="E17" s="79" t="s">
        <v>9</v>
      </c>
      <c r="F17" s="79">
        <v>0</v>
      </c>
      <c r="G17" s="79">
        <v>0</v>
      </c>
      <c r="H17" s="79">
        <v>4</v>
      </c>
      <c r="I17" s="79">
        <v>3</v>
      </c>
      <c r="J17" s="79">
        <v>3</v>
      </c>
      <c r="K17" s="79">
        <v>3</v>
      </c>
      <c r="L17" s="102">
        <v>2</v>
      </c>
      <c r="M17" s="102">
        <v>3</v>
      </c>
      <c r="N17" s="80"/>
    </row>
    <row r="18" spans="1:14" x14ac:dyDescent="0.3">
      <c r="A18" s="81">
        <v>8</v>
      </c>
      <c r="B18" s="77" t="s">
        <v>7</v>
      </c>
      <c r="C18" s="77" t="s">
        <v>5</v>
      </c>
      <c r="D18" s="77">
        <v>1</v>
      </c>
      <c r="E18" s="77" t="s">
        <v>9</v>
      </c>
      <c r="F18" s="77">
        <v>0</v>
      </c>
      <c r="G18" s="77">
        <v>0</v>
      </c>
      <c r="H18" s="77">
        <v>3</v>
      </c>
      <c r="I18" s="77">
        <v>2</v>
      </c>
      <c r="J18" s="77">
        <v>2</v>
      </c>
      <c r="K18" s="77">
        <v>2</v>
      </c>
      <c r="L18" s="96">
        <v>1.5</v>
      </c>
      <c r="M18" s="96">
        <v>2</v>
      </c>
      <c r="N18" s="82"/>
    </row>
    <row r="19" spans="1:14" x14ac:dyDescent="0.3">
      <c r="A19" s="81">
        <v>15</v>
      </c>
      <c r="B19" s="77" t="s">
        <v>7</v>
      </c>
      <c r="C19" s="77" t="s">
        <v>5</v>
      </c>
      <c r="D19" s="77">
        <v>1</v>
      </c>
      <c r="E19" s="77" t="s">
        <v>9</v>
      </c>
      <c r="F19" s="77">
        <v>0</v>
      </c>
      <c r="G19" s="77">
        <v>1</v>
      </c>
      <c r="H19" s="77">
        <v>1</v>
      </c>
      <c r="I19" s="77">
        <v>3</v>
      </c>
      <c r="J19" s="77">
        <v>3</v>
      </c>
      <c r="K19" s="77">
        <v>3</v>
      </c>
      <c r="L19" s="96">
        <v>1</v>
      </c>
      <c r="M19" s="96">
        <v>3</v>
      </c>
      <c r="N19" s="82"/>
    </row>
    <row r="20" spans="1:14" ht="15" thickBot="1" x14ac:dyDescent="0.35">
      <c r="A20" s="83">
        <v>16</v>
      </c>
      <c r="B20" s="84" t="s">
        <v>7</v>
      </c>
      <c r="C20" s="84" t="s">
        <v>5</v>
      </c>
      <c r="D20" s="84">
        <v>1</v>
      </c>
      <c r="E20" s="84" t="s">
        <v>9</v>
      </c>
      <c r="F20" s="84">
        <v>0</v>
      </c>
      <c r="G20" s="84">
        <v>0</v>
      </c>
      <c r="H20" s="84">
        <v>3</v>
      </c>
      <c r="I20" s="84">
        <v>3</v>
      </c>
      <c r="J20" s="84">
        <v>2</v>
      </c>
      <c r="K20" s="84">
        <v>2</v>
      </c>
      <c r="L20" s="99">
        <v>1.5</v>
      </c>
      <c r="M20" s="99">
        <v>2.3333333333333335</v>
      </c>
      <c r="N20" s="85"/>
    </row>
    <row r="21" spans="1:14" x14ac:dyDescent="0.3">
      <c r="A21" s="86">
        <v>3</v>
      </c>
      <c r="B21" s="87" t="s">
        <v>7</v>
      </c>
      <c r="C21" s="87" t="s">
        <v>6</v>
      </c>
      <c r="D21" s="87">
        <v>1</v>
      </c>
      <c r="E21" s="87" t="s">
        <v>9</v>
      </c>
      <c r="F21" s="87">
        <v>0</v>
      </c>
      <c r="G21" s="87">
        <v>1</v>
      </c>
      <c r="H21" s="87">
        <v>3</v>
      </c>
      <c r="I21" s="87">
        <v>4</v>
      </c>
      <c r="J21" s="87">
        <v>3</v>
      </c>
      <c r="K21" s="87">
        <v>4</v>
      </c>
      <c r="L21" s="93">
        <v>2</v>
      </c>
      <c r="M21" s="93">
        <v>3.6666666666666665</v>
      </c>
      <c r="N21" s="88"/>
    </row>
    <row r="22" spans="1:14" x14ac:dyDescent="0.3">
      <c r="A22" s="81">
        <v>4</v>
      </c>
      <c r="B22" s="77" t="s">
        <v>7</v>
      </c>
      <c r="C22" s="77" t="s">
        <v>6</v>
      </c>
      <c r="D22" s="77">
        <v>1</v>
      </c>
      <c r="E22" s="77" t="s">
        <v>9</v>
      </c>
      <c r="F22" s="77">
        <v>0</v>
      </c>
      <c r="G22" s="77">
        <v>1</v>
      </c>
      <c r="H22" s="77">
        <v>2</v>
      </c>
      <c r="I22" s="77">
        <v>3</v>
      </c>
      <c r="J22" s="77">
        <v>3</v>
      </c>
      <c r="K22" s="77">
        <v>3</v>
      </c>
      <c r="L22" s="96">
        <v>1.5</v>
      </c>
      <c r="M22" s="96">
        <v>3</v>
      </c>
      <c r="N22" s="82"/>
    </row>
    <row r="23" spans="1:14" x14ac:dyDescent="0.3">
      <c r="A23" s="81">
        <v>11</v>
      </c>
      <c r="B23" s="77" t="s">
        <v>7</v>
      </c>
      <c r="C23" s="77" t="s">
        <v>6</v>
      </c>
      <c r="D23" s="77">
        <v>1</v>
      </c>
      <c r="E23" s="77" t="s">
        <v>9</v>
      </c>
      <c r="F23" s="77">
        <v>0</v>
      </c>
      <c r="G23" s="77">
        <v>1</v>
      </c>
      <c r="H23" s="77">
        <v>3</v>
      </c>
      <c r="I23" s="77">
        <v>2</v>
      </c>
      <c r="J23" s="77">
        <v>3</v>
      </c>
      <c r="K23" s="77">
        <v>2</v>
      </c>
      <c r="L23" s="96">
        <v>2</v>
      </c>
      <c r="M23" s="96">
        <v>2.3333333333333335</v>
      </c>
      <c r="N23" s="82"/>
    </row>
    <row r="24" spans="1:14" x14ac:dyDescent="0.3">
      <c r="A24" s="81">
        <v>12</v>
      </c>
      <c r="B24" s="77" t="s">
        <v>7</v>
      </c>
      <c r="C24" s="77" t="s">
        <v>6</v>
      </c>
      <c r="D24" s="77">
        <v>1</v>
      </c>
      <c r="E24" s="77" t="s">
        <v>9</v>
      </c>
      <c r="F24" s="77">
        <v>0</v>
      </c>
      <c r="G24" s="77">
        <v>0</v>
      </c>
      <c r="H24" s="77">
        <v>4</v>
      </c>
      <c r="I24" s="77">
        <v>3</v>
      </c>
      <c r="J24" s="77">
        <v>3</v>
      </c>
      <c r="K24" s="77">
        <v>3</v>
      </c>
      <c r="L24" s="96">
        <v>2</v>
      </c>
      <c r="M24" s="96">
        <v>3</v>
      </c>
      <c r="N24" s="82"/>
    </row>
    <row r="25" spans="1:14" x14ac:dyDescent="0.3">
      <c r="A25" s="81">
        <v>19</v>
      </c>
      <c r="B25" s="77" t="s">
        <v>7</v>
      </c>
      <c r="C25" s="77" t="s">
        <v>6</v>
      </c>
      <c r="D25" s="77">
        <v>1</v>
      </c>
      <c r="E25" s="77" t="s">
        <v>9</v>
      </c>
      <c r="F25" s="77">
        <v>0</v>
      </c>
      <c r="G25" s="77">
        <v>3</v>
      </c>
      <c r="H25" s="77">
        <v>3</v>
      </c>
      <c r="I25" s="77">
        <v>3</v>
      </c>
      <c r="J25" s="77">
        <v>2</v>
      </c>
      <c r="K25" s="77">
        <v>3</v>
      </c>
      <c r="L25" s="96">
        <v>3</v>
      </c>
      <c r="M25" s="96">
        <v>2.6666666666666665</v>
      </c>
      <c r="N25" s="82"/>
    </row>
    <row r="26" spans="1:14" ht="15" thickBot="1" x14ac:dyDescent="0.35">
      <c r="A26" s="83">
        <v>20</v>
      </c>
      <c r="B26" s="84" t="s">
        <v>7</v>
      </c>
      <c r="C26" s="84" t="s">
        <v>6</v>
      </c>
      <c r="D26" s="84">
        <v>1</v>
      </c>
      <c r="E26" s="84" t="s">
        <v>9</v>
      </c>
      <c r="F26" s="84">
        <v>0</v>
      </c>
      <c r="G26" s="84">
        <v>2</v>
      </c>
      <c r="H26" s="84">
        <v>2</v>
      </c>
      <c r="I26" s="84">
        <v>3</v>
      </c>
      <c r="J26" s="84">
        <v>3</v>
      </c>
      <c r="K26" s="84">
        <v>2</v>
      </c>
      <c r="L26" s="99">
        <v>2</v>
      </c>
      <c r="M26" s="99">
        <v>2.6666666666666665</v>
      </c>
      <c r="N26" s="85"/>
    </row>
  </sheetData>
  <sortState xmlns:xlrd2="http://schemas.microsoft.com/office/spreadsheetml/2017/richdata2" ref="A17:N26">
    <sortCondition ref="C17:C2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A9495-CC37-4AA4-9CD9-26BE43A1D43F}">
  <dimension ref="A1:P27"/>
  <sheetViews>
    <sheetView zoomScale="90" zoomScaleNormal="90" workbookViewId="0">
      <selection activeCell="A2" sqref="A2:P12"/>
    </sheetView>
  </sheetViews>
  <sheetFormatPr defaultRowHeight="14.4" x14ac:dyDescent="0.3"/>
  <cols>
    <col min="4" max="4" width="10.33203125" customWidth="1"/>
    <col min="5" max="5" width="14.33203125" customWidth="1"/>
    <col min="6" max="11" width="15.44140625" customWidth="1"/>
    <col min="12" max="15" width="11.109375" customWidth="1"/>
    <col min="16" max="16" width="56.6640625" customWidth="1"/>
  </cols>
  <sheetData>
    <row r="1" spans="1:16" ht="38.4" customHeight="1" thickBot="1" x14ac:dyDescent="0.4">
      <c r="A1" s="24" t="s">
        <v>26</v>
      </c>
    </row>
    <row r="2" spans="1:16" ht="29.4" customHeight="1" thickBot="1" x14ac:dyDescent="0.35">
      <c r="A2" s="6" t="s">
        <v>0</v>
      </c>
      <c r="B2" s="7" t="s">
        <v>1</v>
      </c>
      <c r="C2" s="7" t="s">
        <v>2</v>
      </c>
      <c r="D2" s="7" t="s">
        <v>11</v>
      </c>
      <c r="E2" s="22" t="s">
        <v>3</v>
      </c>
      <c r="F2" s="23" t="s">
        <v>40</v>
      </c>
      <c r="G2" s="7" t="s">
        <v>39</v>
      </c>
      <c r="H2" s="7" t="s">
        <v>41</v>
      </c>
      <c r="I2" s="7" t="s">
        <v>42</v>
      </c>
      <c r="J2" s="7" t="s">
        <v>43</v>
      </c>
      <c r="K2" s="7" t="s">
        <v>44</v>
      </c>
      <c r="L2" s="7" t="s">
        <v>14</v>
      </c>
      <c r="M2" s="7" t="s">
        <v>15</v>
      </c>
      <c r="N2" s="7" t="s">
        <v>16</v>
      </c>
      <c r="O2" s="7" t="s">
        <v>17</v>
      </c>
      <c r="P2" s="21" t="s">
        <v>4</v>
      </c>
    </row>
    <row r="3" spans="1:16" ht="37.950000000000003" customHeight="1" x14ac:dyDescent="0.3">
      <c r="A3" s="12">
        <v>3</v>
      </c>
      <c r="B3" s="13" t="s">
        <v>7</v>
      </c>
      <c r="C3" s="13" t="s">
        <v>6</v>
      </c>
      <c r="D3" s="13">
        <v>1</v>
      </c>
      <c r="E3" s="3" t="s">
        <v>9</v>
      </c>
      <c r="F3" s="4">
        <v>5</v>
      </c>
      <c r="G3" s="13">
        <v>4</v>
      </c>
      <c r="H3" s="13">
        <v>2</v>
      </c>
      <c r="I3" s="13">
        <v>1</v>
      </c>
      <c r="J3" s="13">
        <v>2</v>
      </c>
      <c r="K3" s="31">
        <v>1</v>
      </c>
      <c r="L3" s="74">
        <f>AVERAGE(F3:H3)</f>
        <v>3.6666666666666665</v>
      </c>
      <c r="M3" s="76">
        <f>AVERAGE(I3:K3)</f>
        <v>1.3333333333333333</v>
      </c>
      <c r="N3" s="76">
        <f>SUM(F3:H3)</f>
        <v>11</v>
      </c>
      <c r="O3" s="75">
        <f>SUM(I3:K3)</f>
        <v>4</v>
      </c>
      <c r="P3" s="19"/>
    </row>
    <row r="4" spans="1:16" ht="37.950000000000003" customHeight="1" x14ac:dyDescent="0.3">
      <c r="A4" s="12">
        <v>4</v>
      </c>
      <c r="B4" s="13" t="s">
        <v>7</v>
      </c>
      <c r="C4" s="13" t="s">
        <v>6</v>
      </c>
      <c r="D4" s="13">
        <v>1</v>
      </c>
      <c r="E4" s="3" t="s">
        <v>9</v>
      </c>
      <c r="F4" s="4">
        <v>5</v>
      </c>
      <c r="G4" s="13">
        <v>4</v>
      </c>
      <c r="H4" s="13">
        <v>3</v>
      </c>
      <c r="I4" s="13">
        <v>2</v>
      </c>
      <c r="J4" s="13">
        <v>2</v>
      </c>
      <c r="K4" s="31">
        <v>2</v>
      </c>
      <c r="L4" s="66">
        <f t="shared" ref="L4:L11" si="0">AVERAGE(F4:H4)</f>
        <v>4</v>
      </c>
      <c r="M4" s="67">
        <f t="shared" ref="M4:M12" si="1">AVERAGE(I4:K4)</f>
        <v>2</v>
      </c>
      <c r="N4" s="67">
        <f t="shared" ref="N4:N12" si="2">SUM(F4:H4)</f>
        <v>12</v>
      </c>
      <c r="O4" s="69">
        <f t="shared" ref="O4:O12" si="3">SUM(I4:K4)</f>
        <v>6</v>
      </c>
      <c r="P4" s="19"/>
    </row>
    <row r="5" spans="1:16" ht="37.950000000000003" customHeight="1" x14ac:dyDescent="0.3">
      <c r="A5" s="12">
        <v>7</v>
      </c>
      <c r="B5" s="13" t="s">
        <v>7</v>
      </c>
      <c r="C5" s="13" t="s">
        <v>5</v>
      </c>
      <c r="D5" s="13">
        <v>1</v>
      </c>
      <c r="E5" s="3" t="s">
        <v>9</v>
      </c>
      <c r="F5" s="4">
        <v>5</v>
      </c>
      <c r="G5" s="13">
        <v>5</v>
      </c>
      <c r="H5" s="13">
        <v>1</v>
      </c>
      <c r="I5" s="13">
        <v>2</v>
      </c>
      <c r="J5" s="13">
        <v>2</v>
      </c>
      <c r="K5" s="31">
        <v>2</v>
      </c>
      <c r="L5" s="66">
        <f t="shared" si="0"/>
        <v>3.6666666666666665</v>
      </c>
      <c r="M5" s="67">
        <f t="shared" si="1"/>
        <v>2</v>
      </c>
      <c r="N5" s="67">
        <f t="shared" si="2"/>
        <v>11</v>
      </c>
      <c r="O5" s="69">
        <f t="shared" si="3"/>
        <v>6</v>
      </c>
      <c r="P5" s="19"/>
    </row>
    <row r="6" spans="1:16" ht="37.950000000000003" customHeight="1" x14ac:dyDescent="0.3">
      <c r="A6" s="12">
        <v>8</v>
      </c>
      <c r="B6" s="13" t="s">
        <v>7</v>
      </c>
      <c r="C6" s="13" t="s">
        <v>5</v>
      </c>
      <c r="D6" s="13">
        <v>1</v>
      </c>
      <c r="E6" s="3" t="s">
        <v>9</v>
      </c>
      <c r="F6" s="4">
        <v>5</v>
      </c>
      <c r="G6" s="13">
        <v>5</v>
      </c>
      <c r="H6" s="13">
        <v>2</v>
      </c>
      <c r="I6" s="13">
        <v>3</v>
      </c>
      <c r="J6" s="13">
        <v>3</v>
      </c>
      <c r="K6" s="31">
        <v>3</v>
      </c>
      <c r="L6" s="66">
        <f t="shared" si="0"/>
        <v>4</v>
      </c>
      <c r="M6" s="67">
        <f t="shared" si="1"/>
        <v>3</v>
      </c>
      <c r="N6" s="67">
        <f t="shared" si="2"/>
        <v>12</v>
      </c>
      <c r="O6" s="69">
        <f t="shared" si="3"/>
        <v>9</v>
      </c>
      <c r="P6" s="19"/>
    </row>
    <row r="7" spans="1:16" ht="37.950000000000003" customHeight="1" x14ac:dyDescent="0.3">
      <c r="A7" s="12">
        <v>11</v>
      </c>
      <c r="B7" s="13" t="s">
        <v>7</v>
      </c>
      <c r="C7" s="13" t="s">
        <v>6</v>
      </c>
      <c r="D7" s="13">
        <v>1</v>
      </c>
      <c r="E7" s="3" t="s">
        <v>9</v>
      </c>
      <c r="F7" s="4">
        <v>5</v>
      </c>
      <c r="G7" s="13">
        <v>4</v>
      </c>
      <c r="H7" s="13">
        <v>2</v>
      </c>
      <c r="I7" s="13">
        <v>3</v>
      </c>
      <c r="J7" s="13">
        <v>2</v>
      </c>
      <c r="K7" s="31">
        <v>3</v>
      </c>
      <c r="L7" s="66">
        <f t="shared" si="0"/>
        <v>3.6666666666666665</v>
      </c>
      <c r="M7" s="67">
        <f t="shared" si="1"/>
        <v>2.6666666666666665</v>
      </c>
      <c r="N7" s="67">
        <f t="shared" si="2"/>
        <v>11</v>
      </c>
      <c r="O7" s="69">
        <f t="shared" si="3"/>
        <v>8</v>
      </c>
      <c r="P7" s="19"/>
    </row>
    <row r="8" spans="1:16" ht="37.950000000000003" customHeight="1" x14ac:dyDescent="0.3">
      <c r="A8" s="12">
        <v>12</v>
      </c>
      <c r="B8" s="13" t="s">
        <v>7</v>
      </c>
      <c r="C8" s="13" t="s">
        <v>6</v>
      </c>
      <c r="D8" s="13">
        <v>1</v>
      </c>
      <c r="E8" s="3" t="s">
        <v>9</v>
      </c>
      <c r="F8" s="4">
        <v>5</v>
      </c>
      <c r="G8" s="13">
        <v>5</v>
      </c>
      <c r="H8" s="13">
        <v>1</v>
      </c>
      <c r="I8" s="13">
        <v>2</v>
      </c>
      <c r="J8" s="13">
        <v>2</v>
      </c>
      <c r="K8" s="31">
        <v>2</v>
      </c>
      <c r="L8" s="66">
        <f t="shared" si="0"/>
        <v>3.6666666666666665</v>
      </c>
      <c r="M8" s="67">
        <f t="shared" si="1"/>
        <v>2</v>
      </c>
      <c r="N8" s="67">
        <f t="shared" si="2"/>
        <v>11</v>
      </c>
      <c r="O8" s="69">
        <f t="shared" si="3"/>
        <v>6</v>
      </c>
      <c r="P8" s="19"/>
    </row>
    <row r="9" spans="1:16" ht="37.950000000000003" customHeight="1" x14ac:dyDescent="0.3">
      <c r="A9" s="12">
        <v>15</v>
      </c>
      <c r="B9" s="13" t="s">
        <v>7</v>
      </c>
      <c r="C9" s="13" t="s">
        <v>5</v>
      </c>
      <c r="D9" s="13">
        <v>1</v>
      </c>
      <c r="E9" s="3" t="s">
        <v>9</v>
      </c>
      <c r="F9" s="4">
        <v>5</v>
      </c>
      <c r="G9" s="13">
        <v>4</v>
      </c>
      <c r="H9" s="13">
        <v>4</v>
      </c>
      <c r="I9" s="13">
        <v>2</v>
      </c>
      <c r="J9" s="13">
        <v>2</v>
      </c>
      <c r="K9" s="31">
        <v>2</v>
      </c>
      <c r="L9" s="66">
        <f t="shared" si="0"/>
        <v>4.333333333333333</v>
      </c>
      <c r="M9" s="67">
        <f t="shared" si="1"/>
        <v>2</v>
      </c>
      <c r="N9" s="67">
        <f t="shared" si="2"/>
        <v>13</v>
      </c>
      <c r="O9" s="69">
        <f t="shared" si="3"/>
        <v>6</v>
      </c>
      <c r="P9" s="19"/>
    </row>
    <row r="10" spans="1:16" ht="37.950000000000003" customHeight="1" x14ac:dyDescent="0.3">
      <c r="A10" s="12">
        <v>16</v>
      </c>
      <c r="B10" s="13" t="s">
        <v>7</v>
      </c>
      <c r="C10" s="13" t="s">
        <v>5</v>
      </c>
      <c r="D10" s="13">
        <v>1</v>
      </c>
      <c r="E10" s="3" t="s">
        <v>9</v>
      </c>
      <c r="F10" s="4">
        <v>5</v>
      </c>
      <c r="G10" s="13">
        <v>5</v>
      </c>
      <c r="H10" s="13">
        <v>2</v>
      </c>
      <c r="I10" s="13">
        <v>2</v>
      </c>
      <c r="J10" s="13">
        <v>3</v>
      </c>
      <c r="K10" s="31">
        <v>3</v>
      </c>
      <c r="L10" s="66">
        <f t="shared" si="0"/>
        <v>4</v>
      </c>
      <c r="M10" s="67">
        <f t="shared" si="1"/>
        <v>2.6666666666666665</v>
      </c>
      <c r="N10" s="67">
        <f t="shared" si="2"/>
        <v>12</v>
      </c>
      <c r="O10" s="69">
        <f t="shared" si="3"/>
        <v>8</v>
      </c>
      <c r="P10" s="19"/>
    </row>
    <row r="11" spans="1:16" ht="37.950000000000003" customHeight="1" x14ac:dyDescent="0.3">
      <c r="A11" s="12">
        <v>19</v>
      </c>
      <c r="B11" s="13" t="s">
        <v>7</v>
      </c>
      <c r="C11" s="13" t="s">
        <v>6</v>
      </c>
      <c r="D11" s="13">
        <v>1</v>
      </c>
      <c r="E11" s="3" t="s">
        <v>9</v>
      </c>
      <c r="F11" s="4">
        <v>5</v>
      </c>
      <c r="G11" s="13">
        <v>2</v>
      </c>
      <c r="H11" s="13">
        <v>2</v>
      </c>
      <c r="I11" s="13">
        <v>2</v>
      </c>
      <c r="J11" s="13">
        <v>3</v>
      </c>
      <c r="K11" s="31">
        <v>2</v>
      </c>
      <c r="L11" s="66">
        <f t="shared" si="0"/>
        <v>3</v>
      </c>
      <c r="M11" s="67">
        <f t="shared" si="1"/>
        <v>2.3333333333333335</v>
      </c>
      <c r="N11" s="67">
        <f t="shared" si="2"/>
        <v>9</v>
      </c>
      <c r="O11" s="69">
        <f t="shared" si="3"/>
        <v>7</v>
      </c>
      <c r="P11" s="19"/>
    </row>
    <row r="12" spans="1:16" ht="37.950000000000003" customHeight="1" thickBot="1" x14ac:dyDescent="0.35">
      <c r="A12" s="8">
        <v>20</v>
      </c>
      <c r="B12" s="14" t="s">
        <v>7</v>
      </c>
      <c r="C12" s="14" t="s">
        <v>6</v>
      </c>
      <c r="D12" s="14">
        <v>1</v>
      </c>
      <c r="E12" s="9" t="s">
        <v>9</v>
      </c>
      <c r="F12" s="10">
        <v>5</v>
      </c>
      <c r="G12" s="14">
        <v>3</v>
      </c>
      <c r="H12" s="14">
        <v>3</v>
      </c>
      <c r="I12" s="14">
        <v>2</v>
      </c>
      <c r="J12" s="14">
        <v>2</v>
      </c>
      <c r="K12" s="32">
        <v>3</v>
      </c>
      <c r="L12" s="70">
        <f>AVERAGE(F12:H12)</f>
        <v>3.6666666666666665</v>
      </c>
      <c r="M12" s="71">
        <f t="shared" si="1"/>
        <v>2.3333333333333335</v>
      </c>
      <c r="N12" s="71">
        <f t="shared" si="2"/>
        <v>11</v>
      </c>
      <c r="O12" s="73">
        <f t="shared" si="3"/>
        <v>7</v>
      </c>
      <c r="P12" s="20"/>
    </row>
    <row r="14" spans="1:16" ht="30" customHeight="1" thickBot="1" x14ac:dyDescent="0.35">
      <c r="A14" s="105" t="s">
        <v>46</v>
      </c>
      <c r="B14" s="104"/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  <c r="P14" s="104"/>
    </row>
    <row r="15" spans="1:16" ht="30" customHeight="1" thickBot="1" x14ac:dyDescent="0.35">
      <c r="A15" s="122" t="s">
        <v>0</v>
      </c>
      <c r="B15" s="123" t="s">
        <v>1</v>
      </c>
      <c r="C15" s="123" t="s">
        <v>2</v>
      </c>
      <c r="D15" s="123" t="s">
        <v>11</v>
      </c>
      <c r="E15" s="124" t="s">
        <v>3</v>
      </c>
      <c r="F15" s="122" t="s">
        <v>40</v>
      </c>
      <c r="G15" s="123" t="s">
        <v>39</v>
      </c>
      <c r="H15" s="123" t="s">
        <v>41</v>
      </c>
      <c r="I15" s="123" t="s">
        <v>42</v>
      </c>
      <c r="J15" s="123" t="s">
        <v>43</v>
      </c>
      <c r="K15" s="124" t="s">
        <v>44</v>
      </c>
      <c r="L15" s="122" t="s">
        <v>14</v>
      </c>
      <c r="M15" s="123" t="s">
        <v>15</v>
      </c>
      <c r="N15" s="123" t="s">
        <v>16</v>
      </c>
      <c r="O15" s="124" t="s">
        <v>17</v>
      </c>
      <c r="P15" s="125" t="s">
        <v>4</v>
      </c>
    </row>
    <row r="16" spans="1:16" ht="30" customHeight="1" x14ac:dyDescent="0.3">
      <c r="A16" s="78">
        <v>7</v>
      </c>
      <c r="B16" s="79" t="s">
        <v>7</v>
      </c>
      <c r="C16" s="79" t="s">
        <v>5</v>
      </c>
      <c r="D16" s="79">
        <v>1</v>
      </c>
      <c r="E16" s="80" t="s">
        <v>9</v>
      </c>
      <c r="F16" s="78">
        <v>5</v>
      </c>
      <c r="G16" s="79">
        <v>5</v>
      </c>
      <c r="H16" s="79">
        <v>1</v>
      </c>
      <c r="I16" s="79">
        <v>2</v>
      </c>
      <c r="J16" s="79">
        <v>2</v>
      </c>
      <c r="K16" s="80">
        <v>2</v>
      </c>
      <c r="L16" s="101">
        <v>3.6666666666666665</v>
      </c>
      <c r="M16" s="102">
        <v>2</v>
      </c>
      <c r="N16" s="102">
        <v>11</v>
      </c>
      <c r="O16" s="103">
        <v>6</v>
      </c>
      <c r="P16" s="61"/>
    </row>
    <row r="17" spans="1:16" ht="30" customHeight="1" x14ac:dyDescent="0.3">
      <c r="A17" s="81">
        <v>8</v>
      </c>
      <c r="B17" s="77" t="s">
        <v>7</v>
      </c>
      <c r="C17" s="77" t="s">
        <v>5</v>
      </c>
      <c r="D17" s="77">
        <v>1</v>
      </c>
      <c r="E17" s="82" t="s">
        <v>9</v>
      </c>
      <c r="F17" s="81">
        <v>5</v>
      </c>
      <c r="G17" s="77">
        <v>5</v>
      </c>
      <c r="H17" s="77">
        <v>2</v>
      </c>
      <c r="I17" s="77">
        <v>3</v>
      </c>
      <c r="J17" s="77">
        <v>3</v>
      </c>
      <c r="K17" s="82">
        <v>3</v>
      </c>
      <c r="L17" s="95">
        <v>4</v>
      </c>
      <c r="M17" s="96">
        <v>3</v>
      </c>
      <c r="N17" s="96">
        <v>12</v>
      </c>
      <c r="O17" s="97">
        <v>9</v>
      </c>
      <c r="P17" s="19"/>
    </row>
    <row r="18" spans="1:16" ht="30" customHeight="1" x14ac:dyDescent="0.3">
      <c r="A18" s="81">
        <v>15</v>
      </c>
      <c r="B18" s="77" t="s">
        <v>7</v>
      </c>
      <c r="C18" s="77" t="s">
        <v>5</v>
      </c>
      <c r="D18" s="77">
        <v>1</v>
      </c>
      <c r="E18" s="82" t="s">
        <v>9</v>
      </c>
      <c r="F18" s="81">
        <v>5</v>
      </c>
      <c r="G18" s="77">
        <v>4</v>
      </c>
      <c r="H18" s="77">
        <v>4</v>
      </c>
      <c r="I18" s="77">
        <v>2</v>
      </c>
      <c r="J18" s="77">
        <v>2</v>
      </c>
      <c r="K18" s="82">
        <v>2</v>
      </c>
      <c r="L18" s="95">
        <v>4.333333333333333</v>
      </c>
      <c r="M18" s="96">
        <v>2</v>
      </c>
      <c r="N18" s="96">
        <v>13</v>
      </c>
      <c r="O18" s="97">
        <v>6</v>
      </c>
      <c r="P18" s="19"/>
    </row>
    <row r="19" spans="1:16" ht="30" customHeight="1" thickBot="1" x14ac:dyDescent="0.35">
      <c r="A19" s="106">
        <v>16</v>
      </c>
      <c r="B19" s="107" t="s">
        <v>7</v>
      </c>
      <c r="C19" s="107" t="s">
        <v>5</v>
      </c>
      <c r="D19" s="107">
        <v>1</v>
      </c>
      <c r="E19" s="108" t="s">
        <v>9</v>
      </c>
      <c r="F19" s="106">
        <v>5</v>
      </c>
      <c r="G19" s="107">
        <v>5</v>
      </c>
      <c r="H19" s="107">
        <v>2</v>
      </c>
      <c r="I19" s="107">
        <v>2</v>
      </c>
      <c r="J19" s="107">
        <v>3</v>
      </c>
      <c r="K19" s="108">
        <v>3</v>
      </c>
      <c r="L19" s="109">
        <v>4</v>
      </c>
      <c r="M19" s="110">
        <v>2.6666666666666665</v>
      </c>
      <c r="N19" s="110">
        <v>12</v>
      </c>
      <c r="O19" s="111">
        <v>8</v>
      </c>
      <c r="P19" s="112"/>
    </row>
    <row r="20" spans="1:16" ht="30" customHeight="1" thickBot="1" x14ac:dyDescent="0.4">
      <c r="A20" s="113"/>
      <c r="B20" s="114"/>
      <c r="C20" s="121" t="s">
        <v>5</v>
      </c>
      <c r="D20" s="114"/>
      <c r="E20" s="115"/>
      <c r="F20" s="113"/>
      <c r="G20" s="114"/>
      <c r="H20" s="114"/>
      <c r="I20" s="114"/>
      <c r="J20" s="114"/>
      <c r="K20" s="115"/>
      <c r="L20" s="116">
        <f>AVERAGE(L16:L19)</f>
        <v>4</v>
      </c>
      <c r="M20" s="116">
        <f t="shared" ref="M20:O20" si="4">AVERAGE(M16:M19)</f>
        <v>2.4166666666666665</v>
      </c>
      <c r="N20" s="116">
        <f t="shared" si="4"/>
        <v>12</v>
      </c>
      <c r="O20" s="119">
        <f t="shared" si="4"/>
        <v>7.25</v>
      </c>
      <c r="P20" s="120"/>
    </row>
    <row r="21" spans="1:16" ht="30" customHeight="1" x14ac:dyDescent="0.3">
      <c r="A21" s="86">
        <v>3</v>
      </c>
      <c r="B21" s="87" t="s">
        <v>7</v>
      </c>
      <c r="C21" s="87" t="s">
        <v>6</v>
      </c>
      <c r="D21" s="87">
        <v>1</v>
      </c>
      <c r="E21" s="88" t="s">
        <v>9</v>
      </c>
      <c r="F21" s="86">
        <v>5</v>
      </c>
      <c r="G21" s="87">
        <v>4</v>
      </c>
      <c r="H21" s="87">
        <v>2</v>
      </c>
      <c r="I21" s="87">
        <v>1</v>
      </c>
      <c r="J21" s="87">
        <v>2</v>
      </c>
      <c r="K21" s="88">
        <v>1</v>
      </c>
      <c r="L21" s="92">
        <v>3.6666666666666665</v>
      </c>
      <c r="M21" s="93">
        <v>1.3333333333333333</v>
      </c>
      <c r="N21" s="93">
        <v>11</v>
      </c>
      <c r="O21" s="94">
        <v>4</v>
      </c>
      <c r="P21" s="61"/>
    </row>
    <row r="22" spans="1:16" ht="30" customHeight="1" x14ac:dyDescent="0.3">
      <c r="A22" s="81">
        <v>4</v>
      </c>
      <c r="B22" s="77" t="s">
        <v>7</v>
      </c>
      <c r="C22" s="77" t="s">
        <v>6</v>
      </c>
      <c r="D22" s="77">
        <v>1</v>
      </c>
      <c r="E22" s="82" t="s">
        <v>9</v>
      </c>
      <c r="F22" s="81">
        <v>5</v>
      </c>
      <c r="G22" s="77">
        <v>4</v>
      </c>
      <c r="H22" s="77">
        <v>3</v>
      </c>
      <c r="I22" s="77">
        <v>2</v>
      </c>
      <c r="J22" s="77">
        <v>2</v>
      </c>
      <c r="K22" s="82">
        <v>2</v>
      </c>
      <c r="L22" s="95">
        <v>4</v>
      </c>
      <c r="M22" s="96">
        <v>2</v>
      </c>
      <c r="N22" s="96">
        <v>12</v>
      </c>
      <c r="O22" s="97">
        <v>6</v>
      </c>
      <c r="P22" s="19"/>
    </row>
    <row r="23" spans="1:16" ht="30" customHeight="1" x14ac:dyDescent="0.3">
      <c r="A23" s="81">
        <v>11</v>
      </c>
      <c r="B23" s="77" t="s">
        <v>7</v>
      </c>
      <c r="C23" s="77" t="s">
        <v>6</v>
      </c>
      <c r="D23" s="77">
        <v>1</v>
      </c>
      <c r="E23" s="82" t="s">
        <v>9</v>
      </c>
      <c r="F23" s="81">
        <v>5</v>
      </c>
      <c r="G23" s="77">
        <v>4</v>
      </c>
      <c r="H23" s="77">
        <v>2</v>
      </c>
      <c r="I23" s="77">
        <v>3</v>
      </c>
      <c r="J23" s="77">
        <v>2</v>
      </c>
      <c r="K23" s="82">
        <v>3</v>
      </c>
      <c r="L23" s="95">
        <v>3.6666666666666665</v>
      </c>
      <c r="M23" s="96">
        <v>2.6666666666666665</v>
      </c>
      <c r="N23" s="96">
        <v>11</v>
      </c>
      <c r="O23" s="97">
        <v>8</v>
      </c>
      <c r="P23" s="19"/>
    </row>
    <row r="24" spans="1:16" ht="30" customHeight="1" x14ac:dyDescent="0.3">
      <c r="A24" s="81">
        <v>12</v>
      </c>
      <c r="B24" s="77" t="s">
        <v>7</v>
      </c>
      <c r="C24" s="77" t="s">
        <v>6</v>
      </c>
      <c r="D24" s="77">
        <v>1</v>
      </c>
      <c r="E24" s="82" t="s">
        <v>9</v>
      </c>
      <c r="F24" s="81">
        <v>5</v>
      </c>
      <c r="G24" s="77">
        <v>5</v>
      </c>
      <c r="H24" s="77">
        <v>1</v>
      </c>
      <c r="I24" s="77">
        <v>2</v>
      </c>
      <c r="J24" s="77">
        <v>2</v>
      </c>
      <c r="K24" s="82">
        <v>2</v>
      </c>
      <c r="L24" s="95">
        <v>3.6666666666666665</v>
      </c>
      <c r="M24" s="96">
        <v>2</v>
      </c>
      <c r="N24" s="96">
        <v>11</v>
      </c>
      <c r="O24" s="97">
        <v>6</v>
      </c>
      <c r="P24" s="19"/>
    </row>
    <row r="25" spans="1:16" ht="30" customHeight="1" x14ac:dyDescent="0.3">
      <c r="A25" s="81">
        <v>19</v>
      </c>
      <c r="B25" s="77" t="s">
        <v>7</v>
      </c>
      <c r="C25" s="77" t="s">
        <v>6</v>
      </c>
      <c r="D25" s="77">
        <v>1</v>
      </c>
      <c r="E25" s="82" t="s">
        <v>9</v>
      </c>
      <c r="F25" s="81">
        <v>5</v>
      </c>
      <c r="G25" s="77">
        <v>2</v>
      </c>
      <c r="H25" s="77">
        <v>2</v>
      </c>
      <c r="I25" s="77">
        <v>2</v>
      </c>
      <c r="J25" s="77">
        <v>3</v>
      </c>
      <c r="K25" s="82">
        <v>2</v>
      </c>
      <c r="L25" s="95">
        <v>3</v>
      </c>
      <c r="M25" s="96">
        <v>2.3333333333333335</v>
      </c>
      <c r="N25" s="96">
        <v>9</v>
      </c>
      <c r="O25" s="97">
        <v>7</v>
      </c>
      <c r="P25" s="19"/>
    </row>
    <row r="26" spans="1:16" ht="30" customHeight="1" thickBot="1" x14ac:dyDescent="0.35">
      <c r="A26" s="83">
        <v>20</v>
      </c>
      <c r="B26" s="84" t="s">
        <v>7</v>
      </c>
      <c r="C26" s="84" t="s">
        <v>6</v>
      </c>
      <c r="D26" s="84">
        <v>1</v>
      </c>
      <c r="E26" s="85" t="s">
        <v>9</v>
      </c>
      <c r="F26" s="83">
        <v>5</v>
      </c>
      <c r="G26" s="84">
        <v>3</v>
      </c>
      <c r="H26" s="84">
        <v>3</v>
      </c>
      <c r="I26" s="84">
        <v>2</v>
      </c>
      <c r="J26" s="84">
        <v>2</v>
      </c>
      <c r="K26" s="85">
        <v>3</v>
      </c>
      <c r="L26" s="98">
        <v>3.6666666666666665</v>
      </c>
      <c r="M26" s="99">
        <v>2.3333333333333335</v>
      </c>
      <c r="N26" s="99">
        <v>11</v>
      </c>
      <c r="O26" s="100">
        <v>7</v>
      </c>
      <c r="P26" s="20"/>
    </row>
    <row r="27" spans="1:16" ht="28.5" customHeight="1" thickBot="1" x14ac:dyDescent="0.4">
      <c r="A27" s="113"/>
      <c r="B27" s="114"/>
      <c r="C27" s="121" t="s">
        <v>6</v>
      </c>
      <c r="D27" s="114"/>
      <c r="E27" s="115"/>
      <c r="F27" s="113"/>
      <c r="G27" s="114"/>
      <c r="H27" s="114"/>
      <c r="I27" s="114"/>
      <c r="J27" s="114"/>
      <c r="K27" s="115"/>
      <c r="L27" s="116">
        <f>AVERAGE(L21:L26)</f>
        <v>3.6111111111111112</v>
      </c>
      <c r="M27" s="116">
        <f t="shared" ref="M27:O27" si="5">AVERAGE(M21:M26)</f>
        <v>2.1111111111111112</v>
      </c>
      <c r="N27" s="116">
        <f t="shared" si="5"/>
        <v>10.833333333333334</v>
      </c>
      <c r="O27" s="117">
        <f t="shared" si="5"/>
        <v>6.333333333333333</v>
      </c>
      <c r="P27" s="118"/>
    </row>
  </sheetData>
  <sortState xmlns:xlrd2="http://schemas.microsoft.com/office/spreadsheetml/2017/richdata2" ref="A16:P26">
    <sortCondition ref="C16:C26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E8081-CA06-4051-BFD9-16E51F807D49}">
  <dimension ref="A1:N22"/>
  <sheetViews>
    <sheetView zoomScale="90" zoomScaleNormal="90" workbookViewId="0">
      <selection activeCell="A2" sqref="A2:N22"/>
    </sheetView>
  </sheetViews>
  <sheetFormatPr defaultRowHeight="14.4" x14ac:dyDescent="0.3"/>
  <cols>
    <col min="4" max="4" width="10.33203125" customWidth="1"/>
    <col min="5" max="5" width="14.33203125" customWidth="1"/>
    <col min="6" max="13" width="15.44140625" customWidth="1"/>
    <col min="14" max="14" width="56.6640625" customWidth="1"/>
  </cols>
  <sheetData>
    <row r="1" spans="1:14" ht="33.6" customHeight="1" thickBot="1" x14ac:dyDescent="0.4">
      <c r="A1" s="24" t="s">
        <v>25</v>
      </c>
    </row>
    <row r="2" spans="1:14" ht="24" customHeight="1" thickBot="1" x14ac:dyDescent="0.35">
      <c r="A2" s="6" t="s">
        <v>0</v>
      </c>
      <c r="B2" s="7" t="s">
        <v>1</v>
      </c>
      <c r="C2" s="7" t="s">
        <v>2</v>
      </c>
      <c r="D2" s="7" t="s">
        <v>11</v>
      </c>
      <c r="E2" s="22" t="s">
        <v>3</v>
      </c>
      <c r="F2" s="6" t="s">
        <v>40</v>
      </c>
      <c r="G2" s="7" t="s">
        <v>39</v>
      </c>
      <c r="H2" s="62" t="s">
        <v>41</v>
      </c>
      <c r="I2" s="6" t="s">
        <v>42</v>
      </c>
      <c r="J2" s="7" t="s">
        <v>43</v>
      </c>
      <c r="K2" s="22" t="s">
        <v>44</v>
      </c>
      <c r="L2" s="52" t="s">
        <v>14</v>
      </c>
      <c r="M2" s="52" t="s">
        <v>15</v>
      </c>
      <c r="N2" s="21" t="s">
        <v>4</v>
      </c>
    </row>
    <row r="3" spans="1:14" ht="24" customHeight="1" x14ac:dyDescent="0.3">
      <c r="A3" s="5">
        <v>1</v>
      </c>
      <c r="B3" s="11" t="s">
        <v>8</v>
      </c>
      <c r="C3" s="11" t="s">
        <v>5</v>
      </c>
      <c r="D3" s="11">
        <v>1</v>
      </c>
      <c r="E3" s="2" t="s">
        <v>9</v>
      </c>
      <c r="F3" s="5">
        <v>3.1</v>
      </c>
      <c r="G3" s="11">
        <v>2.9</v>
      </c>
      <c r="H3" s="30">
        <v>1.4</v>
      </c>
      <c r="I3" s="5">
        <v>1.3</v>
      </c>
      <c r="J3" s="11">
        <v>1.5</v>
      </c>
      <c r="K3" s="30">
        <v>1.5</v>
      </c>
      <c r="L3" s="74">
        <f>AVERAGE(F3:H3)</f>
        <v>2.4666666666666668</v>
      </c>
      <c r="M3" s="75">
        <f>AVERAGE(I3:K3)</f>
        <v>1.4333333333333333</v>
      </c>
      <c r="N3" s="18"/>
    </row>
    <row r="4" spans="1:14" ht="24" customHeight="1" x14ac:dyDescent="0.3">
      <c r="A4" s="12">
        <v>2</v>
      </c>
      <c r="B4" s="13" t="s">
        <v>8</v>
      </c>
      <c r="C4" s="13" t="s">
        <v>5</v>
      </c>
      <c r="D4" s="13">
        <v>1</v>
      </c>
      <c r="E4" s="3" t="s">
        <v>9</v>
      </c>
      <c r="F4" s="12">
        <v>3.1</v>
      </c>
      <c r="G4" s="13">
        <v>2.9</v>
      </c>
      <c r="H4" s="31">
        <v>1.4</v>
      </c>
      <c r="I4" s="12">
        <v>1.3</v>
      </c>
      <c r="J4" s="13">
        <v>1.5</v>
      </c>
      <c r="K4" s="31">
        <v>1.5</v>
      </c>
      <c r="L4" s="66">
        <f t="shared" ref="L4:L22" si="0">AVERAGE(F4:H4)</f>
        <v>2.4666666666666668</v>
      </c>
      <c r="M4" s="69">
        <f t="shared" ref="M4:M22" si="1">AVERAGE(I4:K4)</f>
        <v>1.4333333333333333</v>
      </c>
      <c r="N4" s="19"/>
    </row>
    <row r="5" spans="1:14" ht="24" customHeight="1" x14ac:dyDescent="0.3">
      <c r="A5" s="12">
        <v>9</v>
      </c>
      <c r="B5" s="13" t="s">
        <v>8</v>
      </c>
      <c r="C5" s="13" t="s">
        <v>5</v>
      </c>
      <c r="D5" s="13">
        <v>1</v>
      </c>
      <c r="E5" s="3" t="s">
        <v>9</v>
      </c>
      <c r="F5" s="12">
        <v>3.1</v>
      </c>
      <c r="G5" s="13">
        <v>2.9</v>
      </c>
      <c r="H5" s="31">
        <v>1.4</v>
      </c>
      <c r="I5" s="12">
        <v>1.3</v>
      </c>
      <c r="J5" s="13">
        <v>1.5</v>
      </c>
      <c r="K5" s="31">
        <v>1.5</v>
      </c>
      <c r="L5" s="66">
        <f t="shared" si="0"/>
        <v>2.4666666666666668</v>
      </c>
      <c r="M5" s="69">
        <f t="shared" si="1"/>
        <v>1.4333333333333333</v>
      </c>
      <c r="N5" s="19"/>
    </row>
    <row r="6" spans="1:14" ht="24" customHeight="1" x14ac:dyDescent="0.3">
      <c r="A6" s="12">
        <v>10</v>
      </c>
      <c r="B6" s="13" t="s">
        <v>8</v>
      </c>
      <c r="C6" s="13" t="s">
        <v>5</v>
      </c>
      <c r="D6" s="13">
        <v>1</v>
      </c>
      <c r="E6" s="3" t="s">
        <v>9</v>
      </c>
      <c r="F6" s="12">
        <v>3.1</v>
      </c>
      <c r="G6" s="13">
        <v>2.9</v>
      </c>
      <c r="H6" s="31">
        <v>1.4</v>
      </c>
      <c r="I6" s="12">
        <v>1.3</v>
      </c>
      <c r="J6" s="13">
        <v>1.5</v>
      </c>
      <c r="K6" s="31">
        <v>1.5</v>
      </c>
      <c r="L6" s="66">
        <f t="shared" si="0"/>
        <v>2.4666666666666668</v>
      </c>
      <c r="M6" s="69">
        <f t="shared" si="1"/>
        <v>1.4333333333333333</v>
      </c>
      <c r="N6" s="19"/>
    </row>
    <row r="7" spans="1:14" ht="24" customHeight="1" x14ac:dyDescent="0.3">
      <c r="A7" s="12">
        <v>17</v>
      </c>
      <c r="B7" s="13" t="s">
        <v>8</v>
      </c>
      <c r="C7" s="13" t="s">
        <v>5</v>
      </c>
      <c r="D7" s="13">
        <v>1</v>
      </c>
      <c r="E7" s="3" t="s">
        <v>9</v>
      </c>
      <c r="F7" s="12">
        <v>3.1</v>
      </c>
      <c r="G7" s="13">
        <v>2.9</v>
      </c>
      <c r="H7" s="31">
        <v>1.4</v>
      </c>
      <c r="I7" s="12">
        <v>1.3</v>
      </c>
      <c r="J7" s="13">
        <v>1.5</v>
      </c>
      <c r="K7" s="31">
        <v>1.5</v>
      </c>
      <c r="L7" s="66">
        <f t="shared" si="0"/>
        <v>2.4666666666666668</v>
      </c>
      <c r="M7" s="69">
        <f t="shared" si="1"/>
        <v>1.4333333333333333</v>
      </c>
      <c r="N7" s="19"/>
    </row>
    <row r="8" spans="1:14" ht="24" customHeight="1" x14ac:dyDescent="0.3">
      <c r="A8" s="12">
        <v>18</v>
      </c>
      <c r="B8" s="13" t="s">
        <v>8</v>
      </c>
      <c r="C8" s="13" t="s">
        <v>5</v>
      </c>
      <c r="D8" s="13">
        <v>1</v>
      </c>
      <c r="E8" s="3" t="s">
        <v>9</v>
      </c>
      <c r="F8" s="12">
        <v>3.1</v>
      </c>
      <c r="G8" s="13">
        <v>2.9</v>
      </c>
      <c r="H8" s="31">
        <v>1.4</v>
      </c>
      <c r="I8" s="12">
        <v>1.3</v>
      </c>
      <c r="J8" s="13">
        <v>1.5</v>
      </c>
      <c r="K8" s="31">
        <v>1.5</v>
      </c>
      <c r="L8" s="66">
        <f t="shared" si="0"/>
        <v>2.4666666666666668</v>
      </c>
      <c r="M8" s="69">
        <f t="shared" si="1"/>
        <v>1.4333333333333333</v>
      </c>
      <c r="N8" s="19"/>
    </row>
    <row r="9" spans="1:14" ht="24" customHeight="1" x14ac:dyDescent="0.3">
      <c r="A9" s="12">
        <v>5</v>
      </c>
      <c r="B9" s="13" t="s">
        <v>8</v>
      </c>
      <c r="C9" s="13" t="s">
        <v>6</v>
      </c>
      <c r="D9" s="13">
        <v>1</v>
      </c>
      <c r="E9" s="3" t="s">
        <v>9</v>
      </c>
      <c r="F9" s="12">
        <v>5.9</v>
      </c>
      <c r="G9" s="13">
        <v>4.4000000000000004</v>
      </c>
      <c r="H9" s="31">
        <v>2.5</v>
      </c>
      <c r="I9" s="12">
        <v>2.2999999999999998</v>
      </c>
      <c r="J9" s="13">
        <v>2.5</v>
      </c>
      <c r="K9" s="31">
        <v>2.5</v>
      </c>
      <c r="L9" s="66">
        <f t="shared" si="0"/>
        <v>4.2666666666666666</v>
      </c>
      <c r="M9" s="69">
        <f t="shared" si="1"/>
        <v>2.4333333333333331</v>
      </c>
      <c r="N9" s="19"/>
    </row>
    <row r="10" spans="1:14" ht="24" customHeight="1" x14ac:dyDescent="0.3">
      <c r="A10" s="12">
        <v>6</v>
      </c>
      <c r="B10" s="13" t="s">
        <v>8</v>
      </c>
      <c r="C10" s="13" t="s">
        <v>6</v>
      </c>
      <c r="D10" s="13">
        <v>1</v>
      </c>
      <c r="E10" s="3" t="s">
        <v>9</v>
      </c>
      <c r="F10" s="12">
        <v>5.9</v>
      </c>
      <c r="G10" s="13">
        <v>4.4000000000000004</v>
      </c>
      <c r="H10" s="31">
        <v>2.5</v>
      </c>
      <c r="I10" s="12">
        <v>2.2999999999999998</v>
      </c>
      <c r="J10" s="13">
        <v>2.5</v>
      </c>
      <c r="K10" s="31">
        <v>2.5</v>
      </c>
      <c r="L10" s="66">
        <f t="shared" si="0"/>
        <v>4.2666666666666666</v>
      </c>
      <c r="M10" s="69">
        <f t="shared" si="1"/>
        <v>2.4333333333333331</v>
      </c>
      <c r="N10" s="19"/>
    </row>
    <row r="11" spans="1:14" ht="24" customHeight="1" x14ac:dyDescent="0.3">
      <c r="A11" s="12">
        <v>13</v>
      </c>
      <c r="B11" s="13" t="s">
        <v>8</v>
      </c>
      <c r="C11" s="13" t="s">
        <v>6</v>
      </c>
      <c r="D11" s="13">
        <v>1</v>
      </c>
      <c r="E11" s="3" t="s">
        <v>9</v>
      </c>
      <c r="F11" s="12">
        <v>5.9</v>
      </c>
      <c r="G11" s="13">
        <v>4.4000000000000004</v>
      </c>
      <c r="H11" s="31">
        <v>2.5</v>
      </c>
      <c r="I11" s="12">
        <v>2.2999999999999998</v>
      </c>
      <c r="J11" s="13">
        <v>2.5</v>
      </c>
      <c r="K11" s="31">
        <v>2.5</v>
      </c>
      <c r="L11" s="66">
        <f t="shared" si="0"/>
        <v>4.2666666666666666</v>
      </c>
      <c r="M11" s="69">
        <f t="shared" si="1"/>
        <v>2.4333333333333331</v>
      </c>
      <c r="N11" s="19"/>
    </row>
    <row r="12" spans="1:14" ht="24" customHeight="1" thickBot="1" x14ac:dyDescent="0.35">
      <c r="A12" s="8">
        <v>14</v>
      </c>
      <c r="B12" s="14" t="s">
        <v>8</v>
      </c>
      <c r="C12" s="14" t="s">
        <v>6</v>
      </c>
      <c r="D12" s="14">
        <v>1</v>
      </c>
      <c r="E12" s="9" t="s">
        <v>9</v>
      </c>
      <c r="F12" s="8">
        <v>5.9</v>
      </c>
      <c r="G12" s="14">
        <v>4.4000000000000004</v>
      </c>
      <c r="H12" s="32">
        <v>2.5</v>
      </c>
      <c r="I12" s="8">
        <v>2.2999999999999998</v>
      </c>
      <c r="J12" s="14">
        <v>2.5</v>
      </c>
      <c r="K12" s="32">
        <v>2.5</v>
      </c>
      <c r="L12" s="70">
        <f t="shared" si="0"/>
        <v>4.2666666666666666</v>
      </c>
      <c r="M12" s="73">
        <f t="shared" si="1"/>
        <v>2.4333333333333331</v>
      </c>
      <c r="N12" s="20"/>
    </row>
    <row r="13" spans="1:14" ht="24" customHeight="1" x14ac:dyDescent="0.3">
      <c r="A13" s="58">
        <v>3</v>
      </c>
      <c r="B13" s="59" t="s">
        <v>7</v>
      </c>
      <c r="C13" s="59" t="s">
        <v>6</v>
      </c>
      <c r="D13" s="59">
        <v>1</v>
      </c>
      <c r="E13" s="60" t="s">
        <v>9</v>
      </c>
      <c r="F13" s="63">
        <v>6.4</v>
      </c>
      <c r="G13" s="64">
        <v>5.12</v>
      </c>
      <c r="H13" s="65">
        <v>2.56</v>
      </c>
      <c r="I13" s="63">
        <v>1.256</v>
      </c>
      <c r="J13" s="64">
        <v>2.512</v>
      </c>
      <c r="K13" s="65">
        <v>1.256</v>
      </c>
      <c r="L13" s="74">
        <f t="shared" si="0"/>
        <v>4.6933333333333334</v>
      </c>
      <c r="M13" s="75">
        <f t="shared" si="1"/>
        <v>1.6746666666666667</v>
      </c>
      <c r="N13" s="61"/>
    </row>
    <row r="14" spans="1:14" ht="24" customHeight="1" x14ac:dyDescent="0.3">
      <c r="A14" s="12">
        <v>4</v>
      </c>
      <c r="B14" s="13" t="s">
        <v>7</v>
      </c>
      <c r="C14" s="13" t="s">
        <v>6</v>
      </c>
      <c r="D14" s="13">
        <v>1</v>
      </c>
      <c r="E14" s="3" t="s">
        <v>9</v>
      </c>
      <c r="F14" s="66">
        <v>5.8</v>
      </c>
      <c r="G14" s="67">
        <v>4.6399999999999997</v>
      </c>
      <c r="H14" s="68">
        <v>3.48</v>
      </c>
      <c r="I14" s="66">
        <v>2.3040000000000003</v>
      </c>
      <c r="J14" s="67">
        <v>2.3040000000000003</v>
      </c>
      <c r="K14" s="68">
        <v>2.3040000000000003</v>
      </c>
      <c r="L14" s="66">
        <f t="shared" si="0"/>
        <v>4.6399999999999997</v>
      </c>
      <c r="M14" s="69">
        <f t="shared" si="1"/>
        <v>2.3040000000000003</v>
      </c>
      <c r="N14" s="19"/>
    </row>
    <row r="15" spans="1:14" ht="24" customHeight="1" x14ac:dyDescent="0.3">
      <c r="A15" s="12">
        <v>7</v>
      </c>
      <c r="B15" s="13" t="s">
        <v>7</v>
      </c>
      <c r="C15" s="13" t="s">
        <v>5</v>
      </c>
      <c r="D15" s="13">
        <v>1</v>
      </c>
      <c r="E15" s="3" t="s">
        <v>9</v>
      </c>
      <c r="F15" s="66">
        <v>3.06</v>
      </c>
      <c r="G15" s="67">
        <v>3.06</v>
      </c>
      <c r="H15" s="68">
        <v>0.61199999999999999</v>
      </c>
      <c r="I15" s="66">
        <v>1.1440000000000001</v>
      </c>
      <c r="J15" s="67">
        <v>1.1440000000000001</v>
      </c>
      <c r="K15" s="68">
        <v>1.1440000000000001</v>
      </c>
      <c r="L15" s="66">
        <f t="shared" si="0"/>
        <v>2.2440000000000002</v>
      </c>
      <c r="M15" s="69">
        <f t="shared" si="1"/>
        <v>1.1440000000000001</v>
      </c>
      <c r="N15" s="19"/>
    </row>
    <row r="16" spans="1:14" ht="24" customHeight="1" x14ac:dyDescent="0.3">
      <c r="A16" s="12">
        <v>8</v>
      </c>
      <c r="B16" s="13" t="s">
        <v>7</v>
      </c>
      <c r="C16" s="13" t="s">
        <v>5</v>
      </c>
      <c r="D16" s="13">
        <v>1</v>
      </c>
      <c r="E16" s="3" t="s">
        <v>9</v>
      </c>
      <c r="F16" s="66">
        <v>3</v>
      </c>
      <c r="G16" s="67">
        <v>3</v>
      </c>
      <c r="H16" s="68">
        <v>1.2</v>
      </c>
      <c r="I16" s="66">
        <v>1.6679999999999999</v>
      </c>
      <c r="J16" s="67">
        <v>1.6679999999999999</v>
      </c>
      <c r="K16" s="68">
        <v>1.6679999999999999</v>
      </c>
      <c r="L16" s="66">
        <f t="shared" si="0"/>
        <v>2.4</v>
      </c>
      <c r="M16" s="69">
        <f t="shared" si="1"/>
        <v>1.6679999999999999</v>
      </c>
      <c r="N16" s="19"/>
    </row>
    <row r="17" spans="1:14" ht="24" customHeight="1" x14ac:dyDescent="0.3">
      <c r="A17" s="12">
        <v>11</v>
      </c>
      <c r="B17" s="13" t="s">
        <v>7</v>
      </c>
      <c r="C17" s="13" t="s">
        <v>6</v>
      </c>
      <c r="D17" s="13">
        <v>1</v>
      </c>
      <c r="E17" s="3" t="s">
        <v>9</v>
      </c>
      <c r="F17" s="66">
        <v>5.5600000000000005</v>
      </c>
      <c r="G17" s="67">
        <v>4.4480000000000004</v>
      </c>
      <c r="H17" s="68">
        <v>2.2240000000000002</v>
      </c>
      <c r="I17" s="66">
        <v>3.2520000000000002</v>
      </c>
      <c r="J17" s="67">
        <v>2.1680000000000001</v>
      </c>
      <c r="K17" s="68">
        <v>3.2520000000000002</v>
      </c>
      <c r="L17" s="66">
        <f t="shared" si="0"/>
        <v>4.0773333333333337</v>
      </c>
      <c r="M17" s="69">
        <f t="shared" si="1"/>
        <v>2.8906666666666667</v>
      </c>
      <c r="N17" s="19"/>
    </row>
    <row r="18" spans="1:14" ht="24" customHeight="1" x14ac:dyDescent="0.3">
      <c r="A18" s="12">
        <v>12</v>
      </c>
      <c r="B18" s="13" t="s">
        <v>7</v>
      </c>
      <c r="C18" s="13" t="s">
        <v>6</v>
      </c>
      <c r="D18" s="13">
        <v>1</v>
      </c>
      <c r="E18" s="3" t="s">
        <v>9</v>
      </c>
      <c r="F18" s="66">
        <v>6.2</v>
      </c>
      <c r="G18" s="67">
        <v>6.2</v>
      </c>
      <c r="H18" s="68">
        <v>1.24</v>
      </c>
      <c r="I18" s="66">
        <v>2.4319999999999999</v>
      </c>
      <c r="J18" s="67">
        <v>2.4319999999999999</v>
      </c>
      <c r="K18" s="68">
        <v>2.4319999999999999</v>
      </c>
      <c r="L18" s="66">
        <f t="shared" si="0"/>
        <v>4.5466666666666669</v>
      </c>
      <c r="M18" s="69">
        <f t="shared" si="1"/>
        <v>2.4319999999999999</v>
      </c>
      <c r="N18" s="19"/>
    </row>
    <row r="19" spans="1:14" ht="24" customHeight="1" x14ac:dyDescent="0.3">
      <c r="A19" s="12">
        <v>15</v>
      </c>
      <c r="B19" s="13" t="s">
        <v>7</v>
      </c>
      <c r="C19" s="13" t="s">
        <v>5</v>
      </c>
      <c r="D19" s="13">
        <v>1</v>
      </c>
      <c r="E19" s="3" t="s">
        <v>9</v>
      </c>
      <c r="F19" s="66">
        <v>2.94</v>
      </c>
      <c r="G19" s="67">
        <v>2.3519999999999999</v>
      </c>
      <c r="H19" s="68">
        <v>2.3519999999999999</v>
      </c>
      <c r="I19" s="66">
        <v>1.1040000000000001</v>
      </c>
      <c r="J19" s="67">
        <v>1.1040000000000001</v>
      </c>
      <c r="K19" s="68">
        <v>1.1040000000000001</v>
      </c>
      <c r="L19" s="66">
        <f t="shared" si="0"/>
        <v>2.548</v>
      </c>
      <c r="M19" s="69">
        <f t="shared" si="1"/>
        <v>1.1040000000000001</v>
      </c>
      <c r="N19" s="19"/>
    </row>
    <row r="20" spans="1:14" ht="24" customHeight="1" x14ac:dyDescent="0.3">
      <c r="A20" s="12">
        <v>16</v>
      </c>
      <c r="B20" s="13" t="s">
        <v>7</v>
      </c>
      <c r="C20" s="13" t="s">
        <v>5</v>
      </c>
      <c r="D20" s="13">
        <v>1</v>
      </c>
      <c r="E20" s="3" t="s">
        <v>9</v>
      </c>
      <c r="F20" s="66">
        <v>3.36</v>
      </c>
      <c r="G20" s="67">
        <v>3.36</v>
      </c>
      <c r="H20" s="68">
        <v>1.3440000000000001</v>
      </c>
      <c r="I20" s="66">
        <v>1.3280000000000001</v>
      </c>
      <c r="J20" s="67">
        <v>1.992</v>
      </c>
      <c r="K20" s="68">
        <v>1.992</v>
      </c>
      <c r="L20" s="66">
        <f t="shared" si="0"/>
        <v>2.6880000000000002</v>
      </c>
      <c r="M20" s="69">
        <f t="shared" si="1"/>
        <v>1.7706666666666668</v>
      </c>
      <c r="N20" s="19"/>
    </row>
    <row r="21" spans="1:14" ht="24" customHeight="1" x14ac:dyDescent="0.3">
      <c r="A21" s="12">
        <v>19</v>
      </c>
      <c r="B21" s="13" t="s">
        <v>7</v>
      </c>
      <c r="C21" s="13" t="s">
        <v>6</v>
      </c>
      <c r="D21" s="13">
        <v>1</v>
      </c>
      <c r="E21" s="3" t="s">
        <v>9</v>
      </c>
      <c r="F21" s="66">
        <v>5.84</v>
      </c>
      <c r="G21" s="67">
        <v>2.3359999999999999</v>
      </c>
      <c r="H21" s="68">
        <v>2.3359999999999999</v>
      </c>
      <c r="I21" s="66">
        <v>2.2320000000000002</v>
      </c>
      <c r="J21" s="67">
        <v>3.3479999999999999</v>
      </c>
      <c r="K21" s="68">
        <v>2.2320000000000002</v>
      </c>
      <c r="L21" s="66">
        <f t="shared" si="0"/>
        <v>3.504</v>
      </c>
      <c r="M21" s="69">
        <f t="shared" si="1"/>
        <v>2.6040000000000001</v>
      </c>
      <c r="N21" s="19"/>
    </row>
    <row r="22" spans="1:14" ht="24" customHeight="1" thickBot="1" x14ac:dyDescent="0.35">
      <c r="A22" s="8">
        <v>20</v>
      </c>
      <c r="B22" s="14" t="s">
        <v>7</v>
      </c>
      <c r="C22" s="14" t="s">
        <v>6</v>
      </c>
      <c r="D22" s="14">
        <v>1</v>
      </c>
      <c r="E22" s="9" t="s">
        <v>9</v>
      </c>
      <c r="F22" s="70">
        <v>5.74</v>
      </c>
      <c r="G22" s="71">
        <v>3.444</v>
      </c>
      <c r="H22" s="72">
        <v>3.444</v>
      </c>
      <c r="I22" s="70">
        <v>2.2720000000000002</v>
      </c>
      <c r="J22" s="71">
        <v>2.2720000000000002</v>
      </c>
      <c r="K22" s="72">
        <v>3.4079999999999999</v>
      </c>
      <c r="L22" s="70">
        <f t="shared" si="0"/>
        <v>4.2093333333333334</v>
      </c>
      <c r="M22" s="73">
        <f t="shared" si="1"/>
        <v>2.6506666666666665</v>
      </c>
      <c r="N22" s="20"/>
    </row>
  </sheetData>
  <sortState xmlns:xlrd2="http://schemas.microsoft.com/office/spreadsheetml/2017/richdata2" ref="A3:N12">
    <sortCondition ref="B3:B12"/>
    <sortCondition ref="C3:C12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A0259-A443-49EC-9CE7-79BB661F29FF}">
  <dimension ref="A1:L12"/>
  <sheetViews>
    <sheetView tabSelected="1" zoomScale="90" zoomScaleNormal="90" workbookViewId="0">
      <selection activeCell="N7" sqref="N7"/>
    </sheetView>
  </sheetViews>
  <sheetFormatPr defaultRowHeight="14.4" x14ac:dyDescent="0.3"/>
  <cols>
    <col min="4" max="4" width="10.33203125" customWidth="1"/>
    <col min="5" max="5" width="14.33203125" customWidth="1"/>
    <col min="6" max="11" width="13.33203125" customWidth="1"/>
    <col min="12" max="12" width="56.6640625" customWidth="1"/>
  </cols>
  <sheetData>
    <row r="1" spans="1:12" ht="39" customHeight="1" thickBot="1" x14ac:dyDescent="0.4">
      <c r="A1" s="24" t="s">
        <v>45</v>
      </c>
      <c r="B1" s="1"/>
      <c r="C1" s="1"/>
      <c r="D1" s="1"/>
      <c r="E1" s="25" t="s">
        <v>24</v>
      </c>
    </row>
    <row r="2" spans="1:12" ht="39" customHeight="1" thickBot="1" x14ac:dyDescent="0.35">
      <c r="A2" s="6" t="s">
        <v>0</v>
      </c>
      <c r="B2" s="7" t="s">
        <v>1</v>
      </c>
      <c r="C2" s="7" t="s">
        <v>2</v>
      </c>
      <c r="D2" s="7" t="s">
        <v>11</v>
      </c>
      <c r="E2" s="22" t="s">
        <v>3</v>
      </c>
      <c r="F2" s="23" t="s">
        <v>18</v>
      </c>
      <c r="G2" s="23" t="s">
        <v>19</v>
      </c>
      <c r="H2" s="23" t="s">
        <v>20</v>
      </c>
      <c r="I2" s="23" t="s">
        <v>21</v>
      </c>
      <c r="J2" s="23" t="s">
        <v>22</v>
      </c>
      <c r="K2" s="7" t="s">
        <v>23</v>
      </c>
      <c r="L2" s="21" t="s">
        <v>4</v>
      </c>
    </row>
    <row r="3" spans="1:12" ht="39" customHeight="1" x14ac:dyDescent="0.3">
      <c r="A3" s="12">
        <v>3</v>
      </c>
      <c r="B3" s="13" t="s">
        <v>7</v>
      </c>
      <c r="C3" s="13" t="s">
        <v>6</v>
      </c>
      <c r="D3" s="13">
        <v>1</v>
      </c>
      <c r="E3" s="31" t="s">
        <v>9</v>
      </c>
      <c r="F3" s="5">
        <v>505.3</v>
      </c>
      <c r="G3" s="11">
        <v>508.9</v>
      </c>
      <c r="H3" s="11">
        <v>489.1</v>
      </c>
      <c r="I3" s="11"/>
      <c r="J3" s="11"/>
      <c r="K3" s="11"/>
      <c r="L3" s="18"/>
    </row>
    <row r="4" spans="1:12" ht="39" customHeight="1" x14ac:dyDescent="0.3">
      <c r="A4" s="12">
        <v>4</v>
      </c>
      <c r="B4" s="13" t="s">
        <v>7</v>
      </c>
      <c r="C4" s="13" t="s">
        <v>6</v>
      </c>
      <c r="D4" s="13">
        <v>1</v>
      </c>
      <c r="E4" s="31" t="s">
        <v>9</v>
      </c>
      <c r="F4" s="12">
        <v>438.3</v>
      </c>
      <c r="G4" s="13">
        <v>451.7</v>
      </c>
      <c r="H4" s="13">
        <v>459.1</v>
      </c>
      <c r="I4" s="13"/>
      <c r="J4" s="13"/>
      <c r="K4" s="13"/>
      <c r="L4" s="19"/>
    </row>
    <row r="5" spans="1:12" ht="39" customHeight="1" x14ac:dyDescent="0.3">
      <c r="A5" s="12">
        <v>7</v>
      </c>
      <c r="B5" s="13" t="s">
        <v>7</v>
      </c>
      <c r="C5" s="13" t="s">
        <v>5</v>
      </c>
      <c r="D5" s="13">
        <v>1</v>
      </c>
      <c r="E5" s="31" t="s">
        <v>9</v>
      </c>
      <c r="F5" s="12">
        <v>400.8</v>
      </c>
      <c r="G5" s="13">
        <v>400</v>
      </c>
      <c r="H5" s="13">
        <v>375</v>
      </c>
      <c r="I5" s="13"/>
      <c r="J5" s="13"/>
      <c r="K5" s="13"/>
      <c r="L5" s="19"/>
    </row>
    <row r="6" spans="1:12" ht="39" customHeight="1" x14ac:dyDescent="0.3">
      <c r="A6" s="12">
        <v>8</v>
      </c>
      <c r="B6" s="13" t="s">
        <v>7</v>
      </c>
      <c r="C6" s="13" t="s">
        <v>5</v>
      </c>
      <c r="D6" s="13">
        <v>1</v>
      </c>
      <c r="E6" s="31" t="s">
        <v>9</v>
      </c>
      <c r="F6" s="12">
        <v>334.4</v>
      </c>
      <c r="G6" s="13">
        <v>333</v>
      </c>
      <c r="H6" s="13">
        <v>331.5</v>
      </c>
      <c r="I6" s="13"/>
      <c r="J6" s="13"/>
      <c r="K6" s="13"/>
      <c r="L6" s="19"/>
    </row>
    <row r="7" spans="1:12" ht="39" customHeight="1" x14ac:dyDescent="0.3">
      <c r="A7" s="12">
        <v>11</v>
      </c>
      <c r="B7" s="13" t="s">
        <v>7</v>
      </c>
      <c r="C7" s="13" t="s">
        <v>6</v>
      </c>
      <c r="D7" s="13">
        <v>1</v>
      </c>
      <c r="E7" s="31" t="s">
        <v>9</v>
      </c>
      <c r="F7" s="12">
        <v>410.3</v>
      </c>
      <c r="G7" s="13">
        <v>397.4</v>
      </c>
      <c r="H7" s="13">
        <v>414.8</v>
      </c>
      <c r="I7" s="13"/>
      <c r="J7" s="13"/>
      <c r="K7" s="13"/>
      <c r="L7" s="19"/>
    </row>
    <row r="8" spans="1:12" ht="39" customHeight="1" x14ac:dyDescent="0.3">
      <c r="A8" s="12">
        <v>12</v>
      </c>
      <c r="B8" s="13" t="s">
        <v>7</v>
      </c>
      <c r="C8" s="13" t="s">
        <v>6</v>
      </c>
      <c r="D8" s="13">
        <v>1</v>
      </c>
      <c r="E8" s="31" t="s">
        <v>9</v>
      </c>
      <c r="F8" s="12">
        <v>348.9</v>
      </c>
      <c r="G8" s="13">
        <v>316.89999999999998</v>
      </c>
      <c r="H8" s="13">
        <v>356.4</v>
      </c>
      <c r="I8" s="13"/>
      <c r="J8" s="13"/>
      <c r="K8" s="13"/>
      <c r="L8" s="19"/>
    </row>
    <row r="9" spans="1:12" ht="39" customHeight="1" x14ac:dyDescent="0.3">
      <c r="A9" s="12">
        <v>15</v>
      </c>
      <c r="B9" s="13" t="s">
        <v>7</v>
      </c>
      <c r="C9" s="13" t="s">
        <v>5</v>
      </c>
      <c r="D9" s="13">
        <v>1</v>
      </c>
      <c r="E9" s="31" t="s">
        <v>9</v>
      </c>
      <c r="F9" s="12">
        <v>484.8</v>
      </c>
      <c r="G9" s="13">
        <v>480.8</v>
      </c>
      <c r="H9" s="13">
        <v>468.6</v>
      </c>
      <c r="I9" s="13"/>
      <c r="J9" s="13"/>
      <c r="K9" s="13"/>
      <c r="L9" s="19"/>
    </row>
    <row r="10" spans="1:12" ht="39" customHeight="1" x14ac:dyDescent="0.3">
      <c r="A10" s="12">
        <v>16</v>
      </c>
      <c r="B10" s="13" t="s">
        <v>7</v>
      </c>
      <c r="C10" s="13" t="s">
        <v>5</v>
      </c>
      <c r="D10" s="13">
        <v>1</v>
      </c>
      <c r="E10" s="31" t="s">
        <v>9</v>
      </c>
      <c r="F10" s="12">
        <v>385.4</v>
      </c>
      <c r="G10" s="13">
        <v>395.3</v>
      </c>
      <c r="H10" s="13">
        <v>387.2</v>
      </c>
      <c r="I10" s="13"/>
      <c r="J10" s="13"/>
      <c r="K10" s="13"/>
      <c r="L10" s="19"/>
    </row>
    <row r="11" spans="1:12" ht="39" customHeight="1" x14ac:dyDescent="0.3">
      <c r="A11" s="12">
        <v>19</v>
      </c>
      <c r="B11" s="13" t="s">
        <v>7</v>
      </c>
      <c r="C11" s="13" t="s">
        <v>6</v>
      </c>
      <c r="D11" s="13">
        <v>1</v>
      </c>
      <c r="E11" s="31" t="s">
        <v>9</v>
      </c>
      <c r="F11" s="12">
        <v>379</v>
      </c>
      <c r="G11" s="13">
        <v>396.1</v>
      </c>
      <c r="H11" s="13">
        <v>393.4</v>
      </c>
      <c r="I11" s="13"/>
      <c r="J11" s="13"/>
      <c r="K11" s="13"/>
      <c r="L11" s="19"/>
    </row>
    <row r="12" spans="1:12" ht="39" customHeight="1" thickBot="1" x14ac:dyDescent="0.35">
      <c r="A12" s="8">
        <v>20</v>
      </c>
      <c r="B12" s="14" t="s">
        <v>7</v>
      </c>
      <c r="C12" s="14" t="s">
        <v>6</v>
      </c>
      <c r="D12" s="14">
        <v>1</v>
      </c>
      <c r="E12" s="32" t="s">
        <v>9</v>
      </c>
      <c r="F12" s="8">
        <v>374.5</v>
      </c>
      <c r="G12" s="14">
        <v>357.2</v>
      </c>
      <c r="H12" s="14">
        <v>361.9</v>
      </c>
      <c r="I12" s="14"/>
      <c r="J12" s="14"/>
      <c r="K12" s="14"/>
      <c r="L12" s="2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B1 Weights</vt:lpstr>
      <vt:lpstr>B1 Weights (Print Version)</vt:lpstr>
      <vt:lpstr>B1 Intoxication Beh</vt:lpstr>
      <vt:lpstr>B1 EtOH Dose</vt:lpstr>
      <vt:lpstr>B1 Volume</vt:lpstr>
      <vt:lpstr>B1 BEC</vt:lpstr>
      <vt:lpstr>'B1 Weights (Print Version)'!Print_Area</vt:lpstr>
    </vt:vector>
  </TitlesOfParts>
  <Manager/>
  <Company>The University of Texas at Austin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Singleton, Lauren</dc:creator>
  <cp:keywords/>
  <dc:description/>
  <cp:lastModifiedBy>Singleton, Lauren</cp:lastModifiedBy>
  <cp:revision/>
  <cp:lastPrinted>2025-07-02T21:28:54Z</cp:lastPrinted>
  <dcterms:created xsi:type="dcterms:W3CDTF">2025-02-05T17:18:47Z</dcterms:created>
  <dcterms:modified xsi:type="dcterms:W3CDTF">2025-07-17T20:42:25Z</dcterms:modified>
  <cp:category/>
  <cp:contentStatus/>
</cp:coreProperties>
</file>